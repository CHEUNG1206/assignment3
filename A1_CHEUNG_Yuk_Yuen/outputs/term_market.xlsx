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Year_after" sheetId="2" state="visible" r:id="rId4"/>
    <sheet name="Chart_data" sheetId="3" state="visible" r:id="rId5"/>
    <sheet name="Industry" sheetId="4" state="visible" r:id="rId6"/>
    <sheet name="C18_listings" sheetId="5" state="visible" r:id="rId7"/>
    <sheet name="C18_before_after" sheetId="6" state="visible" r:id="rId8"/>
  </sheets>
  <definedNames>
    <definedName function="false" hidden="true" localSheetId="3" name="_xlnm._FilterDatabase" vbProcedure="false">Industry!$A$1:$K$19</definedName>
    <definedName function="false" hidden="true" localSheetId="0" name="_xlnm._FilterDatabase" vbProcedure="false">Inputs!$A$1:$H$26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3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4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5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6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7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8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9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10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11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12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13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14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15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16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17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18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19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20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21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22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23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24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25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  <comment ref="D26" authorId="0">
      <text>
        <r>
          <rPr>
            <sz val="10"/>
            <rFont val="Arial"/>
            <family val="2"/>
          </rPr>
          <t xml:space="preserve">Input copied from the source in column G. Do not replace with a calculated total.</t>
        </r>
      </text>
    </comment>
  </commentList>
</comments>
</file>

<file path=xl/sharedStrings.xml><?xml version="1.0" encoding="utf-8"?>
<sst xmlns="http://schemas.openxmlformats.org/spreadsheetml/2006/main" count="375" uniqueCount="192">
  <si>
    <t xml:space="preserve">year</t>
  </si>
  <si>
    <t xml:space="preserve">kind</t>
  </si>
  <si>
    <t xml:space="preserve">item</t>
  </si>
  <si>
    <t xml:space="preserve">amount_as_printed</t>
  </si>
  <si>
    <t xml:space="preserve">unit</t>
  </si>
  <si>
    <t xml:space="preserve">hkd_million</t>
  </si>
  <si>
    <t xml:space="preserve">source_url</t>
  </si>
  <si>
    <t xml:space="preserve">note</t>
  </si>
  <si>
    <t xml:space="preserve">funding</t>
  </si>
  <si>
    <t xml:space="preserve">Co-Investment Fund | Enterprises setting up in Hong Kong</t>
  </si>
  <si>
    <t xml:space="preserve">HK$ billion</t>
  </si>
  <si>
    <t xml:space="preserve">https://www.ceo.gov.hk/public/open-data/en/policy_address/pa2022.xml</t>
  </si>
  <si>
    <t xml:space="preserve">Set aside from the Future Fund.</t>
  </si>
  <si>
    <t xml:space="preserve">RAISe+ Scheme | University research teams with potential to become start-ups</t>
  </si>
  <si>
    <t xml:space="preserve">Earmarked for launch the next year, on a matching basis, for at least 100 teams.</t>
  </si>
  <si>
    <t xml:space="preserve">Strategic Tech Fund | Life and health technology, AI and data science, advanced manufacturing and new energy technology</t>
  </si>
  <si>
    <t xml:space="preserve">Used with OASES. The goal of attracting at least 100 I&amp;T enterprises is a target, not a second government sum.</t>
  </si>
  <si>
    <t xml:space="preserve">New Industrialisation Acceleration Scheme | Life and health technologies, AI and data science, advanced manufacturing, new energy technologies</t>
  </si>
  <si>
    <t xml:space="preserve">https://www.ceo.gov.hk/public/open-data/en/policy_address/pa2023.xml</t>
  </si>
  <si>
    <t xml:space="preserve">Matching of 1 (Government) to 2 (company), funding ceiling HK$200 million.</t>
  </si>
  <si>
    <t xml:space="preserve">Film Development Fund and CreateSmart Initiative | Film, cultural and creative industries</t>
  </si>
  <si>
    <t xml:space="preserve">One injection shared by the two schemes.</t>
  </si>
  <si>
    <t xml:space="preserve">Research Matching Grant Scheme | Research at institutions</t>
  </si>
  <si>
    <t xml:space="preserve">https://www.ceo.gov.hk/public/open-data/en/policy_address/pa2024.xml</t>
  </si>
  <si>
    <t xml:space="preserve">Paragraph 78. A new round.</t>
  </si>
  <si>
    <t xml:space="preserve">I&amp;T Industry-Oriented Fund | Life and health technology, AI and robotics, semi-conductors and smart devices, advanced materials, new energy</t>
  </si>
  <si>
    <t xml:space="preserve">Fund-of-funds. The 2026 address says it is expected to launch in 2026.</t>
  </si>
  <si>
    <t xml:space="preserve">Innovation and Technology Venture Fund | Start-ups in strategic industries</t>
  </si>
  <si>
    <t xml:space="preserve">Redeployed to set up funds jointly with the market, on a matching basis.</t>
  </si>
  <si>
    <t xml:space="preserve">I&amp;T Accelerator Pilot Scheme | Start-up accelerators</t>
  </si>
  <si>
    <t xml:space="preserve">HK$ million</t>
  </si>
  <si>
    <t xml:space="preserve">Paragraph 80. Matching 1 to 2, subsidy ceiling HK$30 million.</t>
  </si>
  <si>
    <t xml:space="preserve">New Energy Transport Fund | Electric taxis and franchised buses, hydrogen fuel-cell heavy vehicles</t>
  </si>
  <si>
    <t xml:space="preserve">Paragraph 85 says around HK$750 million.</t>
  </si>
  <si>
    <t xml:space="preserve">Frontier Technology Research Support Scheme | AI and other frontier research</t>
  </si>
  <si>
    <t xml:space="preserve">https://www.ceo.gov.hk/public/open-data/en/policy_address/pa2025.xml</t>
  </si>
  <si>
    <t xml:space="preserve">Paragraph 68. Announced earlier. Applications to open soon.</t>
  </si>
  <si>
    <t xml:space="preserve">Hong Kong AI Research and Development Institute | AI research, transfer, and use cases</t>
  </si>
  <si>
    <t xml:space="preserve">Paragraph 69. Earmarked for establishment in 2026.</t>
  </si>
  <si>
    <t xml:space="preserve">Aerospace Technology special call | Aerospace technology</t>
  </si>
  <si>
    <t xml:space="preserve">The sentence says over HK$100 million for six university projects. The cell stores 100.</t>
  </si>
  <si>
    <t xml:space="preserve">Innovation and Technology Venture Fund, enhanced scheme | I&amp;T venture funds</t>
  </si>
  <si>
    <t xml:space="preserve">https://www.ceo.gov.hk/public/open-data/en/policy_address/pa2026.xml</t>
  </si>
  <si>
    <t xml:space="preserve">An additional earmark. It is not the HK$1.5 billion redeployed in 2024.</t>
  </si>
  <si>
    <t xml:space="preserve">Artificial Intelligence Subsidy Scheme | High-performance computing for the AI institute</t>
  </si>
  <si>
    <t xml:space="preserve">Paragraph 201.</t>
  </si>
  <si>
    <t xml:space="preserve">AI for Welfare Lab | AI in social welfare services</t>
  </si>
  <si>
    <t xml:space="preserve">Paragraph 113. WelfareHK.ai.</t>
  </si>
  <si>
    <t xml:space="preserve">Construction Innovation and Technology Fund | I&amp;T in the construction industry</t>
  </si>
  <si>
    <t xml:space="preserve">Paragraph 333. The Construction Industry Council's HK$400 million is not government funding.</t>
  </si>
  <si>
    <t xml:space="preserve">outcome_IPO</t>
  </si>
  <si>
    <t xml:space="preserve">IPO</t>
  </si>
  <si>
    <t xml:space="preserve">https://www.hkex.com.hk/-/media/HKEX-Market/Market-Data/Statistics/Consolidated-Reports/Annual-Market-Statistics/FY_2023-Annual-Market-Stat_Eng.pdf</t>
  </si>
  <si>
    <t xml:space="preserve">29 Dec 2023. Printed change -55.8%. Market Statistics 2023, p.3. Main Board and GEM. Outcome of the 19 Oct 2022 address.</t>
  </si>
  <si>
    <t xml:space="preserve">outcome_ADT</t>
  </si>
  <si>
    <t xml:space="preserve">ADT</t>
  </si>
  <si>
    <t xml:space="preserve">29 Dec 2023. Printed change -15.9%. Market Statistics 2023, p.3. Average daily turnover.</t>
  </si>
  <si>
    <t xml:space="preserve">https://www.hkex.com.hk/-/media/HKEX-Market/Market-Data/Statistics/Consolidated-Reports/Annual-Market-Statistics/2024FY-Ann-Mkt-Stat_eng.pdf</t>
  </si>
  <si>
    <t xml:space="preserve">31 Dec 2024. Printed change +88.9%. Market Statistics 2024, p.3. Main Board and GEM. Outcome of the 25 Oct 2023 address.</t>
  </si>
  <si>
    <t xml:space="preserve">31 Dec 2024. Printed change +25.5%. Market Statistics 2024, p.3. Average daily turnover.</t>
  </si>
  <si>
    <t xml:space="preserve">https://www.hkex.com.hk/-/media/HKEX-Market/News/News-Release/2026/260226news/260226news_eng.pdf</t>
  </si>
  <si>
    <t xml:space="preserve">31 Dec 2025. Printed change +226%. 2025 Final Results, p.11. 119 IPOs. Page 17 prints 286.8 and is not averaged in.</t>
  </si>
  <si>
    <t xml:space="preserve">31 Dec 2025. Printed change +90%. 2025 Final Results, p.11. Headline ADT. Outcome of the 16 Oct 2024 address.</t>
  </si>
  <si>
    <t xml:space="preserve">https://www.hkex.com.hk/Market-Data/Statistics/Consolidated-Reports/HKEX-Monthly-Market-Highlights?sc_lang=en</t>
  </si>
  <si>
    <t xml:space="preserve">31 Aug 2026. Printed change +153%. First eight months only, versus HK$135.1 billion a year earlier. Partial outcome of the 17 Sep 2025 address.</t>
  </si>
  <si>
    <t xml:space="preserve">31 Aug 2026. Printed change +14%. First eight months, versus HK$248.3 billion a year earlier.</t>
  </si>
  <si>
    <t xml:space="preserve">address_year</t>
  </si>
  <si>
    <t xml:space="preserve">outcome_year</t>
  </si>
  <si>
    <t xml:space="preserve">window</t>
  </si>
  <si>
    <t xml:space="preserve">stated_funding_hkd_million</t>
  </si>
  <si>
    <t xml:space="preserve">outcome_ipo_hkd_million</t>
  </si>
  <si>
    <t xml:space="preserve">funding_share_of_ipo</t>
  </si>
  <si>
    <t xml:space="preserve">outcome_adt_hkd_million</t>
  </si>
  <si>
    <t xml:space="preserve">2023 full year</t>
  </si>
  <si>
    <t xml:space="preserve">2024 full year</t>
  </si>
  <si>
    <t xml:space="preserve">2025 full year</t>
  </si>
  <si>
    <t xml:space="preserve">2026, first eight months</t>
  </si>
  <si>
    <t xml:space="preserve">not stated in source</t>
  </si>
  <si>
    <t xml:space="preserve">2027 not published</t>
  </si>
  <si>
    <t xml:space="preserve">Share = stated funding in the address year / IPO funds in the outcome window.</t>
  </si>
  <si>
    <t xml:space="preserve">2026 IPO and ADT are the first eight months. Do not read that bar as a full year.</t>
  </si>
  <si>
    <t xml:space="preserve">2027 is not stated in source, so the 2026 address has no share.</t>
  </si>
  <si>
    <t xml:space="preserve">outcome_window</t>
  </si>
  <si>
    <t xml:space="preserve">stated_funding_hkd_billion</t>
  </si>
  <si>
    <t xml:space="preserve">ipo_funds_hkd_billion</t>
  </si>
  <si>
    <t xml:space="preserve">policy_industry</t>
  </si>
  <si>
    <t xml:space="preserve">hkex_evidence</t>
  </si>
  <si>
    <t xml:space="preserve">board_ipo_hkd_million</t>
  </si>
  <si>
    <t xml:space="preserve">industry_share_of_ipo</t>
  </si>
  <si>
    <t xml:space="preserve">Life and health</t>
  </si>
  <si>
    <t xml:space="preserve">Sichuan Kelun-Biotech Biopharmaceutical, ten largest IPOs</t>
  </si>
  <si>
    <t xml:space="preserve">Market Statistics 2023, printed page 7. The printed name includes Biotech and the -B marker.</t>
  </si>
  <si>
    <t xml:space="preserve">New energy</t>
  </si>
  <si>
    <t xml:space="preserve">REPT BATTERO Energy, ten largest IPOs</t>
  </si>
  <si>
    <t xml:space="preserve">Market Statistics 2023, printed page 7. The printed name includes Energy.</t>
  </si>
  <si>
    <t xml:space="preserve">Sino-Synergy Hydrogen Energy Technology, ten largest IPOs</t>
  </si>
  <si>
    <t xml:space="preserve">Market Statistics 2023, printed page 7. The printed name includes Hydrogen Energy.</t>
  </si>
  <si>
    <t xml:space="preserve">AI and robotics</t>
  </si>
  <si>
    <t xml:space="preserve">Horizon Robotics, ten largest IPOs</t>
  </si>
  <si>
    <t xml:space="preserve">Market Statistics 2024, printed page 7. The 2023 address says AI and data science. The printed name says Robotics.</t>
  </si>
  <si>
    <t xml:space="preserve">RoboSense Technology, ten largest IPOs</t>
  </si>
  <si>
    <t xml:space="preserve">Market Statistics 2024, printed page 7.</t>
  </si>
  <si>
    <t xml:space="preserve">Specialist technology</t>
  </si>
  <si>
    <t xml:space="preserve">Chapter 18C listings</t>
  </si>
  <si>
    <t xml:space="preserve">companies</t>
  </si>
  <si>
    <t xml:space="preserve">not used</t>
  </si>
  <si>
    <t xml:space="preserve">https://www.hkex.com.hk/-/media/HKEX-Market/News/News-Release/2025/250227news/250227_FY-Results_e.pdf</t>
  </si>
  <si>
    <t xml:space="preserve">2024 Final Results, p.11. First Chapter 18C listing was 13 June 2024. The five 18C industries are not split.</t>
  </si>
  <si>
    <t xml:space="preserve">New economy, wider than the policy list</t>
  </si>
  <si>
    <t xml:space="preserve">Share of capital raised</t>
  </si>
  <si>
    <t xml:space="preserve">almost 82%</t>
  </si>
  <si>
    <t xml:space="preserve">2024 Final Results, p.11. HKEX does not define new economy as the Policy Address industry list.</t>
  </si>
  <si>
    <t xml:space="preserve">Biotech Companies listed</t>
  </si>
  <si>
    <t xml:space="preserve">https://www.hkex.com.hk/-/media/HKEX-Market/Listing/How-We-Regulate/Listing-Committee/Listing-Committee-Report/AnnualRpt_2025dec.pdf</t>
  </si>
  <si>
    <t xml:space="preserve">Listing Committee Report 2025, p.3.</t>
  </si>
  <si>
    <t xml:space="preserve">Specialist Technology Companies listed</t>
  </si>
  <si>
    <t xml:space="preserve">Listing Committee Report 2025, p.3. Combined with the 16 biotech listings, HK$19.8 billion.</t>
  </si>
  <si>
    <t xml:space="preserve">Life and health plus specialist technology</t>
  </si>
  <si>
    <t xml:space="preserve">Funds raised by the 16 biotech and 5 specialist technology listings</t>
  </si>
  <si>
    <t xml:space="preserve">The page prints one combined sum. It is not split between the two chapters.</t>
  </si>
  <si>
    <t xml:space="preserve">HengRui Pharma, H-share listing</t>
  </si>
  <si>
    <t xml:space="preserve">Listing Committee Report 2025, p.2. Named separately from the HK$19.8 billion. Not added to it.</t>
  </si>
  <si>
    <t xml:space="preserve">Contemporary Amperex Technology, named among the largest IPOs</t>
  </si>
  <si>
    <t xml:space="preserve">Listing Committee Report 2025, p.2 names the company and does not print its proceeds.</t>
  </si>
  <si>
    <t xml:space="preserve">AI</t>
  </si>
  <si>
    <t xml:space="preserve">Hesai, WeRide and Pony AI, named as homecoming listings</t>
  </si>
  <si>
    <t xml:space="preserve">Listing Committee Report 2025, p.2. No separate proceeds.</t>
  </si>
  <si>
    <t xml:space="preserve">Semi-conductors</t>
  </si>
  <si>
    <t xml:space="preserve">No semiconductor IPO total</t>
  </si>
  <si>
    <t xml:space="preserve">The 2024 address names semi-conductors and smart devices. The 2025 Listing Committee report does not.</t>
  </si>
  <si>
    <t xml:space="preserve">Advanced materials</t>
  </si>
  <si>
    <t xml:space="preserve">No advanced-materials IPO total</t>
  </si>
  <si>
    <t xml:space="preserve">https://www.hkex.com.hk/-/media/HKEX-Market/Listing/How-We-Regulate/Listing-Committee/Listing-Committee-Report/AnnualRpt_2023dec.pdf</t>
  </si>
  <si>
    <t xml:space="preserve">Advanced materials is one of five Chapter 18C industries, Listing Committee Report 2023, p.6. The 2025 count of five specialist technology listings is not split.</t>
  </si>
  <si>
    <t xml:space="preserve">Film and creative industries</t>
  </si>
  <si>
    <t xml:space="preserve">No film IPO line</t>
  </si>
  <si>
    <t xml:space="preserve">Market Statistics 2024 does not report film or CreateSmart fundraising.</t>
  </si>
  <si>
    <t xml:space="preserve">Aerospace</t>
  </si>
  <si>
    <t xml:space="preserve">No aerospace IPO line</t>
  </si>
  <si>
    <t xml:space="preserve">The highlights page has no industry split. Cirrus Aircraft, HK$1.51 billion, is on the 2024 ten-largest list, before this earmark.</t>
  </si>
  <si>
    <t xml:space="preserve">Construction</t>
  </si>
  <si>
    <t xml:space="preserve">No construction IPO line</t>
  </si>
  <si>
    <t xml:space="preserve">The following year is not published.</t>
  </si>
  <si>
    <t xml:space="preserve">Share = this row's HK$ million / the board IPO total for the same window. Counts are not shares.</t>
  </si>
  <si>
    <t xml:space="preserve">The 2025 denominator is HK$285,800 million, the Listing Committee's HK$285.8 billion, because 19.8 and 11.4 are printed there.</t>
  </si>
  <si>
    <t xml:space="preserve">company</t>
  </si>
  <si>
    <t xml:space="preserve">listing_date</t>
  </si>
  <si>
    <t xml:space="preserve">funds_hkd_million</t>
  </si>
  <si>
    <t xml:space="preserve">XtalPi Holdings Ltd.</t>
  </si>
  <si>
    <t xml:space="preserve">2024-06-13</t>
  </si>
  <si>
    <t xml:space="preserve">https://www.hkexgroup.com/Media-Centre/Insight/Insight/2026/HKEX-Insight/18C-Explained?sc_lang=en</t>
  </si>
  <si>
    <t xml:space="preserve">Black Sesame International Holdings Ltd.</t>
  </si>
  <si>
    <t xml:space="preserve">2024-08-08</t>
  </si>
  <si>
    <t xml:space="preserve">Shenzhen Dobot Corp. Ltd.</t>
  </si>
  <si>
    <t xml:space="preserve">2024-12-23</t>
  </si>
  <si>
    <t xml:space="preserve">Beijing Yunji Technology Co., Ltd.</t>
  </si>
  <si>
    <t xml:space="preserve">2025-10-16</t>
  </si>
  <si>
    <t xml:space="preserve">Deepexi Technology Co., Ltd.</t>
  </si>
  <si>
    <t xml:space="preserve">2025-10-28</t>
  </si>
  <si>
    <t xml:space="preserve">WeRide Inc.</t>
  </si>
  <si>
    <t xml:space="preserve">2025-11-06</t>
  </si>
  <si>
    <t xml:space="preserve">CiDi Inc.</t>
  </si>
  <si>
    <t xml:space="preserve">2025-12-19</t>
  </si>
  <si>
    <t xml:space="preserve">Beijing 51World Digital Twin Technology Co., Ltd.</t>
  </si>
  <si>
    <t xml:space="preserve">2025-12-30</t>
  </si>
  <si>
    <t xml:space="preserve">Shanghai Biren Technology Co., Ltd.</t>
  </si>
  <si>
    <t xml:space="preserve">2026-01-02</t>
  </si>
  <si>
    <t xml:space="preserve">Knowledge Atlas Technology JSC Ltd.</t>
  </si>
  <si>
    <t xml:space="preserve">2026-01-08</t>
  </si>
  <si>
    <t xml:space="preserve">MiniMax Group Inc.</t>
  </si>
  <si>
    <t xml:space="preserve">2026-01-09</t>
  </si>
  <si>
    <t xml:space="preserve">Guangdong Huayan Robotics Co., Ltd.</t>
  </si>
  <si>
    <t xml:space="preserve">2026-03-30</t>
  </si>
  <si>
    <t xml:space="preserve">Shandong Extreme Vision Technology Co., Ltd.</t>
  </si>
  <si>
    <t xml:space="preserve">Shanghai FourSemi Semiconductor Co., Ltd.</t>
  </si>
  <si>
    <t xml:space="preserve">2026-03-31</t>
  </si>
  <si>
    <t xml:space="preserve">Page total, HK$ billion, as printed</t>
  </si>
  <si>
    <t xml:space="preserve">Sum of the rows, HK$ million</t>
  </si>
  <si>
    <t xml:space="preserve">c18_listings</t>
  </si>
  <si>
    <t xml:space="preserve">c18_funds_hkd_million</t>
  </si>
  <si>
    <t xml:space="preserve">base_rate_year_end</t>
  </si>
  <si>
    <t xml:space="preserve">southbound_adt_hkd_billion</t>
  </si>
  <si>
    <t xml:space="preserve">c18_share_of_board_ipo</t>
  </si>
  <si>
    <t xml:space="preserve">Before Chapter 18C. Base Rate end-2022. Southbound ADT. IPO from Market Statistics 2022.</t>
  </si>
  <si>
    <t xml:space="preserve">Chapter effective 31 Mar 2023. No 18C listing this year. Base Rate end-2023 was 5.75%.</t>
  </si>
  <si>
    <t xml:space="preserve">Three 18C listings. Base Rate cut from 5.75% to 4.75%. Southbound ADT HK$48.2 billion.</t>
  </si>
  <si>
    <t xml:space="preserve">Five 18C listings. Base Rate cut from 4.75% to 4.00%. Southbound ADT HK$121.1 billion. Board IPO is the Listing Committee figure.</t>
  </si>
  <si>
    <t xml:space="preserve">Listings through 31 Mar 2026 only. A full-year Base Rate, Southbound ADT and board IPO are not stated in source.</t>
  </si>
  <si>
    <t xml:space="preserve">Chapter 18C effective 31 March 2023. First listing 13 June 2024.</t>
  </si>
  <si>
    <t xml:space="preserve">The I&amp;T Industry-Oriented Fund has no disbursement date in the 2026 Policy Address. It is not in this table.</t>
  </si>
  <si>
    <t xml:space="preserve">2022 Base Rate: HKMA Annual Report 2022. 2023 and 2024: HKMA Annual Report 2024. 2025: HKMA Annual Report 2025.</t>
  </si>
  <si>
    <t xml:space="preserve">Southbound ADT: HKEX Stock Connect 2025 Review, February 2026.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</si>
</sst>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%"/>
    <numFmt numFmtId="167" formatCode="0.0"/>
    <numFmt numFmtId="168" formatCode="#,##0"/>
    <numFmt numFmtId="169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Stated funding and IPO funds in the following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Chart_data!B1</c:f>
              <c:strCache>
                <c:ptCount val="1"/>
                <c:pt idx="0">
                  <c:v>stated_funding_hkd_billion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Chart_data!$A$2:$A$5</c:f>
              <c:strCache>
                <c:ptCount val="4"/>
                <c:pt idx="0">
                  <c:v>2023 full year</c:v>
                </c:pt>
                <c:pt idx="1">
                  <c:v>2024 full year</c:v>
                </c:pt>
                <c:pt idx="2">
                  <c:v>2025 full year</c:v>
                </c:pt>
                <c:pt idx="3">
                  <c:v>2026, first eight months</c:v>
                </c:pt>
              </c:strCache>
            </c:strRef>
          </c:cat>
          <c:val>
            <c:numRef>
              <c:f>Chart_data!$B$2:$B$5</c:f>
              <c:numCache>
                <c:formatCode>0.0</c:formatCode>
                <c:ptCount val="4"/>
                <c:pt idx="0">
                  <c:v>45</c:v>
                </c:pt>
                <c:pt idx="1">
                  <c:v>14.3</c:v>
                </c:pt>
                <c:pt idx="2">
                  <c:v>13.93</c:v>
                </c:pt>
                <c:pt idx="3">
                  <c:v>4.1</c:v>
                </c:pt>
              </c:numCache>
            </c:numRef>
          </c:val>
        </c:ser>
        <c:ser>
          <c:idx val="1"/>
          <c:order val="1"/>
          <c:tx>
            <c:strRef>
              <c:f>Chart_data!C1</c:f>
              <c:strCache>
                <c:ptCount val="1"/>
                <c:pt idx="0">
                  <c:v>ipo_funds_hkd_billion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Chart_data!$A$2:$A$5</c:f>
              <c:strCache>
                <c:ptCount val="4"/>
                <c:pt idx="0">
                  <c:v>2023 full year</c:v>
                </c:pt>
                <c:pt idx="1">
                  <c:v>2024 full year</c:v>
                </c:pt>
                <c:pt idx="2">
                  <c:v>2025 full year</c:v>
                </c:pt>
                <c:pt idx="3">
                  <c:v>2026, first eight months</c:v>
                </c:pt>
              </c:strCache>
            </c:strRef>
          </c:cat>
          <c:val>
            <c:numRef>
              <c:f>Chart_data!$C$2:$C$5</c:f>
              <c:numCache>
                <c:formatCode>0.0</c:formatCode>
                <c:ptCount val="4"/>
                <c:pt idx="0">
                  <c:v>46.2949</c:v>
                </c:pt>
                <c:pt idx="1">
                  <c:v>87.4778</c:v>
                </c:pt>
                <c:pt idx="2">
                  <c:v>286.9</c:v>
                </c:pt>
                <c:pt idx="3">
                  <c:v>342.4</c:v>
                </c:pt>
              </c:numCache>
            </c:numRef>
          </c:val>
        </c:ser>
        <c:gapWidth val="150"/>
        <c:overlap val="0"/>
        <c:axId val="9867641"/>
        <c:axId val="92096495"/>
      </c:barChart>
      <c:catAx>
        <c:axId val="98676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096495"/>
        <c:crosses val="autoZero"/>
        <c:auto val="1"/>
        <c:lblAlgn val="ctr"/>
        <c:lblOffset val="100"/>
        <c:noMultiLvlLbl val="0"/>
      </c:catAx>
      <c:valAx>
        <c:axId val="9209649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HK$ billion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76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11</xdr:col>
      <xdr:colOff>585720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772848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6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2022</v>
      </c>
      <c r="B2" s="2" t="s">
        <v>8</v>
      </c>
      <c r="C2" s="2" t="s">
        <v>9</v>
      </c>
      <c r="D2" s="2" t="n">
        <v>30</v>
      </c>
      <c r="E2" s="2" t="s">
        <v>10</v>
      </c>
      <c r="F2" s="3" t="n">
        <f aca="false">IF(E2="HK$ billion",D2*1000,IF(E2="HK$ million",D2,IF(E2="億元",D2*100,"")))</f>
        <v>30000</v>
      </c>
      <c r="G2" s="2" t="s">
        <v>11</v>
      </c>
      <c r="H2" s="4" t="s">
        <v>12</v>
      </c>
    </row>
    <row r="3" customFormat="false" ht="26.85" hidden="false" customHeight="false" outlineLevel="0" collapsed="false">
      <c r="A3" s="2" t="n">
        <v>2022</v>
      </c>
      <c r="B3" s="2" t="s">
        <v>8</v>
      </c>
      <c r="C3" s="2" t="s">
        <v>13</v>
      </c>
      <c r="D3" s="2" t="n">
        <v>10</v>
      </c>
      <c r="E3" s="2" t="s">
        <v>10</v>
      </c>
      <c r="F3" s="3" t="n">
        <f aca="false">IF(E3="HK$ billion",D3*1000,IF(E3="HK$ million",D3,IF(E3="億元",D3*100,"")))</f>
        <v>10000</v>
      </c>
      <c r="G3" s="2" t="s">
        <v>11</v>
      </c>
      <c r="H3" s="4" t="s">
        <v>14</v>
      </c>
    </row>
    <row r="4" customFormat="false" ht="26.85" hidden="false" customHeight="false" outlineLevel="0" collapsed="false">
      <c r="A4" s="2" t="n">
        <v>2022</v>
      </c>
      <c r="B4" s="2" t="s">
        <v>8</v>
      </c>
      <c r="C4" s="2" t="s">
        <v>15</v>
      </c>
      <c r="D4" s="2" t="n">
        <v>5</v>
      </c>
      <c r="E4" s="2" t="s">
        <v>10</v>
      </c>
      <c r="F4" s="3" t="n">
        <f aca="false">IF(E4="HK$ billion",D4*1000,IF(E4="HK$ million",D4,IF(E4="億元",D4*100,"")))</f>
        <v>5000</v>
      </c>
      <c r="G4" s="2" t="s">
        <v>11</v>
      </c>
      <c r="H4" s="4" t="s">
        <v>16</v>
      </c>
    </row>
    <row r="5" customFormat="false" ht="26.85" hidden="false" customHeight="false" outlineLevel="0" collapsed="false">
      <c r="A5" s="2" t="n">
        <v>2023</v>
      </c>
      <c r="B5" s="2" t="s">
        <v>8</v>
      </c>
      <c r="C5" s="2" t="s">
        <v>17</v>
      </c>
      <c r="D5" s="2" t="n">
        <v>10</v>
      </c>
      <c r="E5" s="2" t="s">
        <v>10</v>
      </c>
      <c r="F5" s="3" t="n">
        <f aca="false">IF(E5="HK$ billion",D5*1000,IF(E5="HK$ million",D5,IF(E5="億元",D5*100,"")))</f>
        <v>10000</v>
      </c>
      <c r="G5" s="2" t="s">
        <v>18</v>
      </c>
      <c r="H5" s="4" t="s">
        <v>19</v>
      </c>
    </row>
    <row r="6" customFormat="false" ht="15" hidden="false" customHeight="false" outlineLevel="0" collapsed="false">
      <c r="A6" s="2" t="n">
        <v>2023</v>
      </c>
      <c r="B6" s="2" t="s">
        <v>8</v>
      </c>
      <c r="C6" s="2" t="s">
        <v>20</v>
      </c>
      <c r="D6" s="2" t="n">
        <v>4.3</v>
      </c>
      <c r="E6" s="2" t="s">
        <v>10</v>
      </c>
      <c r="F6" s="3" t="n">
        <f aca="false">IF(E6="HK$ billion",D6*1000,IF(E6="HK$ million",D6,IF(E6="億元",D6*100,"")))</f>
        <v>4300</v>
      </c>
      <c r="G6" s="2" t="s">
        <v>18</v>
      </c>
      <c r="H6" s="4" t="s">
        <v>21</v>
      </c>
    </row>
    <row r="7" customFormat="false" ht="15" hidden="false" customHeight="false" outlineLevel="0" collapsed="false">
      <c r="A7" s="2" t="n">
        <v>2024</v>
      </c>
      <c r="B7" s="2" t="s">
        <v>8</v>
      </c>
      <c r="C7" s="2" t="s">
        <v>22</v>
      </c>
      <c r="D7" s="2" t="n">
        <v>1.5</v>
      </c>
      <c r="E7" s="2" t="s">
        <v>10</v>
      </c>
      <c r="F7" s="3" t="n">
        <f aca="false">IF(E7="HK$ billion",D7*1000,IF(E7="HK$ million",D7,IF(E7="億元",D7*100,"")))</f>
        <v>1500</v>
      </c>
      <c r="G7" s="2" t="s">
        <v>23</v>
      </c>
      <c r="H7" s="4" t="s">
        <v>24</v>
      </c>
    </row>
    <row r="8" customFormat="false" ht="15" hidden="false" customHeight="false" outlineLevel="0" collapsed="false">
      <c r="A8" s="2" t="n">
        <v>2024</v>
      </c>
      <c r="B8" s="2" t="s">
        <v>8</v>
      </c>
      <c r="C8" s="2" t="s">
        <v>25</v>
      </c>
      <c r="D8" s="2" t="n">
        <v>10</v>
      </c>
      <c r="E8" s="2" t="s">
        <v>10</v>
      </c>
      <c r="F8" s="3" t="n">
        <f aca="false">IF(E8="HK$ billion",D8*1000,IF(E8="HK$ million",D8,IF(E8="億元",D8*100,"")))</f>
        <v>10000</v>
      </c>
      <c r="G8" s="2" t="s">
        <v>23</v>
      </c>
      <c r="H8" s="4" t="s">
        <v>26</v>
      </c>
    </row>
    <row r="9" customFormat="false" ht="15" hidden="false" customHeight="false" outlineLevel="0" collapsed="false">
      <c r="A9" s="2" t="n">
        <v>2024</v>
      </c>
      <c r="B9" s="2" t="s">
        <v>8</v>
      </c>
      <c r="C9" s="2" t="s">
        <v>27</v>
      </c>
      <c r="D9" s="2" t="n">
        <v>1.5</v>
      </c>
      <c r="E9" s="2" t="s">
        <v>10</v>
      </c>
      <c r="F9" s="3" t="n">
        <f aca="false">IF(E9="HK$ billion",D9*1000,IF(E9="HK$ million",D9,IF(E9="億元",D9*100,"")))</f>
        <v>1500</v>
      </c>
      <c r="G9" s="2" t="s">
        <v>23</v>
      </c>
      <c r="H9" s="4" t="s">
        <v>28</v>
      </c>
    </row>
    <row r="10" customFormat="false" ht="15" hidden="false" customHeight="false" outlineLevel="0" collapsed="false">
      <c r="A10" s="2" t="n">
        <v>2024</v>
      </c>
      <c r="B10" s="2" t="s">
        <v>8</v>
      </c>
      <c r="C10" s="2" t="s">
        <v>29</v>
      </c>
      <c r="D10" s="2" t="n">
        <v>180</v>
      </c>
      <c r="E10" s="2" t="s">
        <v>30</v>
      </c>
      <c r="F10" s="3" t="n">
        <f aca="false">IF(E10="HK$ billion",D10*1000,IF(E10="HK$ million",D10,IF(E10="億元",D10*100,"")))</f>
        <v>180</v>
      </c>
      <c r="G10" s="2" t="s">
        <v>23</v>
      </c>
      <c r="H10" s="4" t="s">
        <v>31</v>
      </c>
    </row>
    <row r="11" customFormat="false" ht="15" hidden="false" customHeight="false" outlineLevel="0" collapsed="false">
      <c r="A11" s="2" t="n">
        <v>2024</v>
      </c>
      <c r="B11" s="2" t="s">
        <v>8</v>
      </c>
      <c r="C11" s="2" t="s">
        <v>32</v>
      </c>
      <c r="D11" s="2" t="n">
        <v>750</v>
      </c>
      <c r="E11" s="2" t="s">
        <v>30</v>
      </c>
      <c r="F11" s="3" t="n">
        <f aca="false">IF(E11="HK$ billion",D11*1000,IF(E11="HK$ million",D11,IF(E11="億元",D11*100,"")))</f>
        <v>750</v>
      </c>
      <c r="G11" s="2" t="s">
        <v>23</v>
      </c>
      <c r="H11" s="4" t="s">
        <v>33</v>
      </c>
    </row>
    <row r="12" customFormat="false" ht="15" hidden="false" customHeight="false" outlineLevel="0" collapsed="false">
      <c r="A12" s="2" t="n">
        <v>2025</v>
      </c>
      <c r="B12" s="2" t="s">
        <v>8</v>
      </c>
      <c r="C12" s="2" t="s">
        <v>34</v>
      </c>
      <c r="D12" s="2" t="n">
        <v>3</v>
      </c>
      <c r="E12" s="2" t="s">
        <v>10</v>
      </c>
      <c r="F12" s="3" t="n">
        <f aca="false">IF(E12="HK$ billion",D12*1000,IF(E12="HK$ million",D12,IF(E12="億元",D12*100,"")))</f>
        <v>3000</v>
      </c>
      <c r="G12" s="2" t="s">
        <v>35</v>
      </c>
      <c r="H12" s="4" t="s">
        <v>36</v>
      </c>
    </row>
    <row r="13" customFormat="false" ht="15" hidden="false" customHeight="false" outlineLevel="0" collapsed="false">
      <c r="A13" s="2" t="n">
        <v>2025</v>
      </c>
      <c r="B13" s="2" t="s">
        <v>8</v>
      </c>
      <c r="C13" s="2" t="s">
        <v>37</v>
      </c>
      <c r="D13" s="2" t="n">
        <v>1</v>
      </c>
      <c r="E13" s="2" t="s">
        <v>10</v>
      </c>
      <c r="F13" s="3" t="n">
        <f aca="false">IF(E13="HK$ billion",D13*1000,IF(E13="HK$ million",D13,IF(E13="億元",D13*100,"")))</f>
        <v>1000</v>
      </c>
      <c r="G13" s="2" t="s">
        <v>35</v>
      </c>
      <c r="H13" s="4" t="s">
        <v>38</v>
      </c>
    </row>
    <row r="14" customFormat="false" ht="26.85" hidden="false" customHeight="false" outlineLevel="0" collapsed="false">
      <c r="A14" s="2" t="n">
        <v>2025</v>
      </c>
      <c r="B14" s="2" t="s">
        <v>8</v>
      </c>
      <c r="C14" s="2" t="s">
        <v>39</v>
      </c>
      <c r="D14" s="2" t="n">
        <v>100</v>
      </c>
      <c r="E14" s="2" t="s">
        <v>30</v>
      </c>
      <c r="F14" s="3" t="n">
        <f aca="false">IF(E14="HK$ billion",D14*1000,IF(E14="HK$ million",D14,IF(E14="億元",D14*100,"")))</f>
        <v>100</v>
      </c>
      <c r="G14" s="2" t="s">
        <v>35</v>
      </c>
      <c r="H14" s="4" t="s">
        <v>40</v>
      </c>
    </row>
    <row r="15" customFormat="false" ht="15" hidden="false" customHeight="false" outlineLevel="0" collapsed="false">
      <c r="A15" s="2" t="n">
        <v>2026</v>
      </c>
      <c r="B15" s="2" t="s">
        <v>8</v>
      </c>
      <c r="C15" s="2" t="s">
        <v>41</v>
      </c>
      <c r="D15" s="2" t="n">
        <v>1</v>
      </c>
      <c r="E15" s="2" t="s">
        <v>10</v>
      </c>
      <c r="F15" s="3" t="n">
        <f aca="false">IF(E15="HK$ billion",D15*1000,IF(E15="HK$ million",D15,IF(E15="億元",D15*100,"")))</f>
        <v>1000</v>
      </c>
      <c r="G15" s="2" t="s">
        <v>42</v>
      </c>
      <c r="H15" s="4" t="s">
        <v>43</v>
      </c>
    </row>
    <row r="16" customFormat="false" ht="15" hidden="false" customHeight="false" outlineLevel="0" collapsed="false">
      <c r="A16" s="2" t="n">
        <v>2026</v>
      </c>
      <c r="B16" s="2" t="s">
        <v>8</v>
      </c>
      <c r="C16" s="2" t="s">
        <v>44</v>
      </c>
      <c r="D16" s="2" t="n">
        <v>1</v>
      </c>
      <c r="E16" s="2" t="s">
        <v>10</v>
      </c>
      <c r="F16" s="3" t="n">
        <f aca="false">IF(E16="HK$ billion",D16*1000,IF(E16="HK$ million",D16,IF(E16="億元",D16*100,"")))</f>
        <v>1000</v>
      </c>
      <c r="G16" s="2" t="s">
        <v>42</v>
      </c>
      <c r="H16" s="4" t="s">
        <v>45</v>
      </c>
    </row>
    <row r="17" customFormat="false" ht="15" hidden="false" customHeight="false" outlineLevel="0" collapsed="false">
      <c r="A17" s="2" t="n">
        <v>2026</v>
      </c>
      <c r="B17" s="2" t="s">
        <v>8</v>
      </c>
      <c r="C17" s="2" t="s">
        <v>46</v>
      </c>
      <c r="D17" s="2" t="n">
        <v>300</v>
      </c>
      <c r="E17" s="2" t="s">
        <v>30</v>
      </c>
      <c r="F17" s="3" t="n">
        <f aca="false">IF(E17="HK$ billion",D17*1000,IF(E17="HK$ million",D17,IF(E17="億元",D17*100,"")))</f>
        <v>300</v>
      </c>
      <c r="G17" s="2" t="s">
        <v>42</v>
      </c>
      <c r="H17" s="4" t="s">
        <v>47</v>
      </c>
    </row>
    <row r="18" customFormat="false" ht="26.85" hidden="false" customHeight="false" outlineLevel="0" collapsed="false">
      <c r="A18" s="2" t="n">
        <v>2026</v>
      </c>
      <c r="B18" s="2" t="s">
        <v>8</v>
      </c>
      <c r="C18" s="2" t="s">
        <v>48</v>
      </c>
      <c r="D18" s="2" t="n">
        <v>1</v>
      </c>
      <c r="E18" s="2" t="s">
        <v>10</v>
      </c>
      <c r="F18" s="3" t="n">
        <f aca="false">IF(E18="HK$ billion",D18*1000,IF(E18="HK$ million",D18,IF(E18="億元",D18*100,"")))</f>
        <v>1000</v>
      </c>
      <c r="G18" s="2" t="s">
        <v>42</v>
      </c>
      <c r="H18" s="4" t="s">
        <v>49</v>
      </c>
    </row>
    <row r="19" customFormat="false" ht="26.85" hidden="false" customHeight="false" outlineLevel="0" collapsed="false">
      <c r="A19" s="2" t="n">
        <v>2023</v>
      </c>
      <c r="B19" s="2" t="s">
        <v>50</v>
      </c>
      <c r="C19" s="2" t="s">
        <v>51</v>
      </c>
      <c r="D19" s="2" t="n">
        <v>46294.9</v>
      </c>
      <c r="E19" s="2" t="s">
        <v>30</v>
      </c>
      <c r="F19" s="3" t="n">
        <f aca="false">IF(E19="HK$ billion",D19*1000,IF(E19="HK$ million",D19,IF(E19="億元",D19*100,"")))</f>
        <v>46294.9</v>
      </c>
      <c r="G19" s="2" t="s">
        <v>52</v>
      </c>
      <c r="H19" s="4" t="s">
        <v>53</v>
      </c>
    </row>
    <row r="20" customFormat="false" ht="26.85" hidden="false" customHeight="false" outlineLevel="0" collapsed="false">
      <c r="A20" s="2" t="n">
        <v>2023</v>
      </c>
      <c r="B20" s="2" t="s">
        <v>54</v>
      </c>
      <c r="C20" s="2" t="s">
        <v>55</v>
      </c>
      <c r="D20" s="2" t="n">
        <v>105012</v>
      </c>
      <c r="E20" s="2" t="s">
        <v>30</v>
      </c>
      <c r="F20" s="3" t="n">
        <f aca="false">IF(E20="HK$ billion",D20*1000,IF(E20="HK$ million",D20,IF(E20="億元",D20*100,"")))</f>
        <v>105012</v>
      </c>
      <c r="G20" s="2" t="s">
        <v>52</v>
      </c>
      <c r="H20" s="4" t="s">
        <v>56</v>
      </c>
    </row>
    <row r="21" customFormat="false" ht="26.85" hidden="false" customHeight="false" outlineLevel="0" collapsed="false">
      <c r="A21" s="2" t="n">
        <v>2024</v>
      </c>
      <c r="B21" s="2" t="s">
        <v>50</v>
      </c>
      <c r="C21" s="2" t="s">
        <v>51</v>
      </c>
      <c r="D21" s="2" t="n">
        <v>87477.8</v>
      </c>
      <c r="E21" s="2" t="s">
        <v>30</v>
      </c>
      <c r="F21" s="3" t="n">
        <f aca="false">IF(E21="HK$ billion",D21*1000,IF(E21="HK$ million",D21,IF(E21="億元",D21*100,"")))</f>
        <v>87477.8</v>
      </c>
      <c r="G21" s="2" t="s">
        <v>57</v>
      </c>
      <c r="H21" s="4" t="s">
        <v>58</v>
      </c>
    </row>
    <row r="22" customFormat="false" ht="26.85" hidden="false" customHeight="false" outlineLevel="0" collapsed="false">
      <c r="A22" s="2" t="n">
        <v>2024</v>
      </c>
      <c r="B22" s="2" t="s">
        <v>54</v>
      </c>
      <c r="C22" s="2" t="s">
        <v>55</v>
      </c>
      <c r="D22" s="2" t="n">
        <v>131825</v>
      </c>
      <c r="E22" s="2" t="s">
        <v>30</v>
      </c>
      <c r="F22" s="3" t="n">
        <f aca="false">IF(E22="HK$ billion",D22*1000,IF(E22="HK$ million",D22,IF(E22="億元",D22*100,"")))</f>
        <v>131825</v>
      </c>
      <c r="G22" s="2" t="s">
        <v>57</v>
      </c>
      <c r="H22" s="4" t="s">
        <v>59</v>
      </c>
    </row>
    <row r="23" customFormat="false" ht="26.85" hidden="false" customHeight="false" outlineLevel="0" collapsed="false">
      <c r="A23" s="2" t="n">
        <v>2025</v>
      </c>
      <c r="B23" s="2" t="s">
        <v>50</v>
      </c>
      <c r="C23" s="2" t="s">
        <v>51</v>
      </c>
      <c r="D23" s="2" t="n">
        <v>286.9</v>
      </c>
      <c r="E23" s="2" t="s">
        <v>10</v>
      </c>
      <c r="F23" s="3" t="n">
        <f aca="false">IF(E23="HK$ billion",D23*1000,IF(E23="HK$ million",D23,IF(E23="億元",D23*100,"")))</f>
        <v>286900</v>
      </c>
      <c r="G23" s="2" t="s">
        <v>60</v>
      </c>
      <c r="H23" s="4" t="s">
        <v>61</v>
      </c>
    </row>
    <row r="24" customFormat="false" ht="26.85" hidden="false" customHeight="false" outlineLevel="0" collapsed="false">
      <c r="A24" s="2" t="n">
        <v>2025</v>
      </c>
      <c r="B24" s="2" t="s">
        <v>54</v>
      </c>
      <c r="C24" s="2" t="s">
        <v>55</v>
      </c>
      <c r="D24" s="2" t="n">
        <v>249.8</v>
      </c>
      <c r="E24" s="2" t="s">
        <v>10</v>
      </c>
      <c r="F24" s="3" t="n">
        <f aca="false">IF(E24="HK$ billion",D24*1000,IF(E24="HK$ million",D24,IF(E24="億元",D24*100,"")))</f>
        <v>249800</v>
      </c>
      <c r="G24" s="2" t="s">
        <v>60</v>
      </c>
      <c r="H24" s="4" t="s">
        <v>62</v>
      </c>
    </row>
    <row r="25" customFormat="false" ht="39.55" hidden="false" customHeight="false" outlineLevel="0" collapsed="false">
      <c r="A25" s="2" t="n">
        <v>2026</v>
      </c>
      <c r="B25" s="2" t="s">
        <v>50</v>
      </c>
      <c r="C25" s="2" t="s">
        <v>51</v>
      </c>
      <c r="D25" s="2" t="n">
        <v>342.4</v>
      </c>
      <c r="E25" s="2" t="s">
        <v>10</v>
      </c>
      <c r="F25" s="3" t="n">
        <f aca="false">IF(E25="HK$ billion",D25*1000,IF(E25="HK$ million",D25,IF(E25="億元",D25*100,"")))</f>
        <v>342400</v>
      </c>
      <c r="G25" s="2" t="s">
        <v>63</v>
      </c>
      <c r="H25" s="4" t="s">
        <v>64</v>
      </c>
    </row>
    <row r="26" customFormat="false" ht="26.85" hidden="false" customHeight="false" outlineLevel="0" collapsed="false">
      <c r="A26" s="2" t="n">
        <v>2026</v>
      </c>
      <c r="B26" s="2" t="s">
        <v>54</v>
      </c>
      <c r="C26" s="2" t="s">
        <v>55</v>
      </c>
      <c r="D26" s="2" t="n">
        <v>282.5</v>
      </c>
      <c r="E26" s="2" t="s">
        <v>10</v>
      </c>
      <c r="F26" s="3" t="n">
        <f aca="false">IF(E26="HK$ billion",D26*1000,IF(E26="HK$ million",D26,IF(E26="億元",D26*100,"")))</f>
        <v>282500</v>
      </c>
      <c r="G26" s="2" t="s">
        <v>63</v>
      </c>
      <c r="H26" s="4" t="s">
        <v>65</v>
      </c>
    </row>
  </sheetData>
  <autoFilter ref="A1:H2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8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28"/>
  </cols>
  <sheetData>
    <row r="1" customFormat="false" ht="31.5" hidden="false" customHeight="true" outlineLevel="0" collapsed="false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 customFormat="false" ht="15" hidden="false" customHeight="false" outlineLevel="0" collapsed="false">
      <c r="A2" s="2" t="n">
        <v>2022</v>
      </c>
      <c r="B2" s="2" t="n">
        <v>2023</v>
      </c>
      <c r="C2" s="2" t="s">
        <v>73</v>
      </c>
      <c r="D2" s="3" t="n">
        <f aca="false">SUMIFS(Inputs!F:F,Inputs!A:A,A2,Inputs!B:B,"funding")</f>
        <v>45000</v>
      </c>
      <c r="E2" s="3" t="n">
        <f aca="false">SUMIFS(Inputs!F:F,Inputs!A:A,B2,Inputs!B:B,"outcome_IPO")</f>
        <v>46294.9</v>
      </c>
      <c r="F2" s="5" t="n">
        <f aca="false">IF(E2="", "", D2/E2)</f>
        <v>0.972029316404183</v>
      </c>
      <c r="G2" s="3" t="n">
        <f aca="false">SUMIFS(Inputs!F:F,Inputs!A:A,B2,Inputs!B:B,"outcome_ADT")</f>
        <v>105012</v>
      </c>
    </row>
    <row r="3" customFormat="false" ht="15" hidden="false" customHeight="false" outlineLevel="0" collapsed="false">
      <c r="A3" s="2" t="n">
        <v>2023</v>
      </c>
      <c r="B3" s="2" t="n">
        <v>2024</v>
      </c>
      <c r="C3" s="2" t="s">
        <v>74</v>
      </c>
      <c r="D3" s="3" t="n">
        <f aca="false">SUMIFS(Inputs!F:F,Inputs!A:A,A3,Inputs!B:B,"funding")</f>
        <v>14300</v>
      </c>
      <c r="E3" s="3" t="n">
        <f aca="false">SUMIFS(Inputs!F:F,Inputs!A:A,B3,Inputs!B:B,"outcome_IPO")</f>
        <v>87477.8</v>
      </c>
      <c r="F3" s="5" t="n">
        <f aca="false">IF(E3="", "", D3/E3)</f>
        <v>0.163470046114557</v>
      </c>
      <c r="G3" s="3" t="n">
        <f aca="false">SUMIFS(Inputs!F:F,Inputs!A:A,B3,Inputs!B:B,"outcome_ADT")</f>
        <v>131825</v>
      </c>
    </row>
    <row r="4" customFormat="false" ht="15" hidden="false" customHeight="false" outlineLevel="0" collapsed="false">
      <c r="A4" s="2" t="n">
        <v>2024</v>
      </c>
      <c r="B4" s="2" t="n">
        <v>2025</v>
      </c>
      <c r="C4" s="2" t="s">
        <v>75</v>
      </c>
      <c r="D4" s="3" t="n">
        <f aca="false">SUMIFS(Inputs!F:F,Inputs!A:A,A4,Inputs!B:B,"funding")</f>
        <v>13930</v>
      </c>
      <c r="E4" s="3" t="n">
        <f aca="false">SUMIFS(Inputs!F:F,Inputs!A:A,B4,Inputs!B:B,"outcome_IPO")</f>
        <v>286900</v>
      </c>
      <c r="F4" s="5" t="n">
        <f aca="false">IF(E4="", "", D4/E4)</f>
        <v>0.0485535029627048</v>
      </c>
      <c r="G4" s="3" t="n">
        <f aca="false">SUMIFS(Inputs!F:F,Inputs!A:A,B4,Inputs!B:B,"outcome_ADT")</f>
        <v>249800</v>
      </c>
    </row>
    <row r="5" customFormat="false" ht="15" hidden="false" customHeight="false" outlineLevel="0" collapsed="false">
      <c r="A5" s="2" t="n">
        <v>2025</v>
      </c>
      <c r="B5" s="2" t="n">
        <v>2026</v>
      </c>
      <c r="C5" s="2" t="s">
        <v>76</v>
      </c>
      <c r="D5" s="3" t="n">
        <f aca="false">SUMIFS(Inputs!F:F,Inputs!A:A,A5,Inputs!B:B,"funding")</f>
        <v>4100</v>
      </c>
      <c r="E5" s="3" t="n">
        <f aca="false">SUMIFS(Inputs!F:F,Inputs!A:A,B5,Inputs!B:B,"outcome_IPO")</f>
        <v>342400</v>
      </c>
      <c r="F5" s="5" t="n">
        <f aca="false">IF(E5="", "", D5/E5)</f>
        <v>0.0119742990654206</v>
      </c>
      <c r="G5" s="3" t="n">
        <f aca="false">SUMIFS(Inputs!F:F,Inputs!A:A,B5,Inputs!B:B,"outcome_ADT")</f>
        <v>282500</v>
      </c>
    </row>
    <row r="6" customFormat="false" ht="15" hidden="false" customHeight="false" outlineLevel="0" collapsed="false">
      <c r="A6" s="2" t="n">
        <v>2026</v>
      </c>
      <c r="B6" s="2" t="s">
        <v>77</v>
      </c>
      <c r="C6" s="2" t="s">
        <v>78</v>
      </c>
      <c r="D6" s="3" t="n">
        <f aca="false">SUMIFS(Inputs!F:F,Inputs!A:A,A6,Inputs!B:B,"funding")</f>
        <v>3300</v>
      </c>
      <c r="E6" s="2" t="s">
        <v>77</v>
      </c>
      <c r="F6" s="2" t="s">
        <v>77</v>
      </c>
      <c r="G6" s="2" t="s">
        <v>77</v>
      </c>
    </row>
    <row r="8" customFormat="false" ht="15" hidden="false" customHeight="false" outlineLevel="0" collapsed="false">
      <c r="A8" s="0" t="s">
        <v>79</v>
      </c>
    </row>
    <row r="9" customFormat="false" ht="15" hidden="false" customHeight="false" outlineLevel="0" collapsed="false">
      <c r="A9" s="0" t="s">
        <v>80</v>
      </c>
    </row>
    <row r="10" customFormat="false" ht="15" hidden="false" customHeight="false" outlineLevel="0" collapsed="false">
      <c r="A10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6" t="s">
        <v>82</v>
      </c>
      <c r="B1" s="6" t="s">
        <v>83</v>
      </c>
      <c r="C1" s="6" t="s">
        <v>84</v>
      </c>
    </row>
    <row r="2" customFormat="false" ht="15" hidden="false" customHeight="false" outlineLevel="0" collapsed="false">
      <c r="A2" s="7" t="str">
        <f aca="false">Year_after!C2</f>
        <v>2023 full year</v>
      </c>
      <c r="B2" s="8" t="n">
        <f aca="false">Year_after!D2/1000</f>
        <v>45</v>
      </c>
      <c r="C2" s="8" t="n">
        <f aca="false">Year_after!E2/1000</f>
        <v>46.2949</v>
      </c>
    </row>
    <row r="3" customFormat="false" ht="15" hidden="false" customHeight="false" outlineLevel="0" collapsed="false">
      <c r="A3" s="7" t="str">
        <f aca="false">Year_after!C3</f>
        <v>2024 full year</v>
      </c>
      <c r="B3" s="8" t="n">
        <f aca="false">Year_after!D3/1000</f>
        <v>14.3</v>
      </c>
      <c r="C3" s="8" t="n">
        <f aca="false">Year_after!E3/1000</f>
        <v>87.4778</v>
      </c>
    </row>
    <row r="4" customFormat="false" ht="15" hidden="false" customHeight="false" outlineLevel="0" collapsed="false">
      <c r="A4" s="7" t="str">
        <f aca="false">Year_after!C4</f>
        <v>2025 full year</v>
      </c>
      <c r="B4" s="8" t="n">
        <f aca="false">Year_after!D4/1000</f>
        <v>13.93</v>
      </c>
      <c r="C4" s="8" t="n">
        <f aca="false">Year_after!E4/1000</f>
        <v>286.9</v>
      </c>
    </row>
    <row r="5" customFormat="false" ht="15" hidden="false" customHeight="false" outlineLevel="0" collapsed="false">
      <c r="A5" s="7" t="str">
        <f aca="false">Year_after!C5</f>
        <v>2026, first eight months</v>
      </c>
      <c r="B5" s="8" t="n">
        <f aca="false">Year_after!D5/1000</f>
        <v>4.1</v>
      </c>
      <c r="C5" s="8" t="n">
        <f aca="false">Year_after!E5/1000</f>
        <v>342.4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22"/>
    <col collapsed="false" customWidth="true" hidden="false" outlineLevel="0" max="10" min="10" style="0" width="36"/>
    <col collapsed="false" customWidth="true" hidden="false" outlineLevel="0" max="11" min="11" style="0" width="55"/>
  </cols>
  <sheetData>
    <row r="1" customFormat="false" ht="31.5" hidden="false" customHeight="true" outlineLevel="0" collapsed="false">
      <c r="A1" s="1" t="s">
        <v>85</v>
      </c>
      <c r="B1" s="1" t="s">
        <v>66</v>
      </c>
      <c r="C1" s="1" t="s">
        <v>82</v>
      </c>
      <c r="D1" s="1" t="s">
        <v>86</v>
      </c>
      <c r="E1" s="1" t="s">
        <v>3</v>
      </c>
      <c r="F1" s="1" t="s">
        <v>4</v>
      </c>
      <c r="G1" s="1" t="s">
        <v>5</v>
      </c>
      <c r="H1" s="1" t="s">
        <v>87</v>
      </c>
      <c r="I1" s="1" t="s">
        <v>88</v>
      </c>
      <c r="J1" s="1" t="s">
        <v>6</v>
      </c>
      <c r="K1" s="1" t="s">
        <v>7</v>
      </c>
    </row>
    <row r="2" customFormat="false" ht="26.85" hidden="false" customHeight="false" outlineLevel="0" collapsed="false">
      <c r="A2" s="2" t="s">
        <v>89</v>
      </c>
      <c r="B2" s="2" t="n">
        <v>2022</v>
      </c>
      <c r="C2" s="2" t="s">
        <v>73</v>
      </c>
      <c r="D2" s="2" t="s">
        <v>90</v>
      </c>
      <c r="E2" s="2" t="n">
        <v>1.56</v>
      </c>
      <c r="F2" s="2" t="s">
        <v>10</v>
      </c>
      <c r="G2" s="3" t="n">
        <f aca="false">IF(F2="HK$ billion",E2*1000,IF(F2="HK$ million",E2,IF(F2="億元",E2*100,"")))</f>
        <v>1560</v>
      </c>
      <c r="H2" s="9" t="n">
        <v>46294.9</v>
      </c>
      <c r="I2" s="5" t="n">
        <f aca="false">IF(OR(G2="",H2=""),"",G2/H2)</f>
        <v>0.0336970163020117</v>
      </c>
      <c r="J2" s="2" t="s">
        <v>52</v>
      </c>
      <c r="K2" s="4" t="s">
        <v>91</v>
      </c>
    </row>
    <row r="3" customFormat="false" ht="26.85" hidden="false" customHeight="false" outlineLevel="0" collapsed="false">
      <c r="A3" s="2" t="s">
        <v>92</v>
      </c>
      <c r="B3" s="2" t="n">
        <v>2022</v>
      </c>
      <c r="C3" s="2" t="s">
        <v>73</v>
      </c>
      <c r="D3" s="2" t="s">
        <v>93</v>
      </c>
      <c r="E3" s="2" t="n">
        <v>2.12</v>
      </c>
      <c r="F3" s="2" t="s">
        <v>10</v>
      </c>
      <c r="G3" s="3" t="n">
        <f aca="false">IF(F3="HK$ billion",E3*1000,IF(F3="HK$ million",E3,IF(F3="億元",E3*100,"")))</f>
        <v>2120</v>
      </c>
      <c r="H3" s="9" t="n">
        <v>46294.9</v>
      </c>
      <c r="I3" s="5" t="n">
        <f aca="false">IF(OR(G3="",H3=""),"",G3/H3)</f>
        <v>0.0457933811283748</v>
      </c>
      <c r="J3" s="2" t="s">
        <v>52</v>
      </c>
      <c r="K3" s="4" t="s">
        <v>94</v>
      </c>
    </row>
    <row r="4" customFormat="false" ht="26.85" hidden="false" customHeight="false" outlineLevel="0" collapsed="false">
      <c r="A4" s="2" t="s">
        <v>92</v>
      </c>
      <c r="B4" s="2" t="n">
        <v>2022</v>
      </c>
      <c r="C4" s="2" t="s">
        <v>73</v>
      </c>
      <c r="D4" s="2" t="s">
        <v>95</v>
      </c>
      <c r="E4" s="2" t="n">
        <v>1.56</v>
      </c>
      <c r="F4" s="2" t="s">
        <v>10</v>
      </c>
      <c r="G4" s="3" t="n">
        <f aca="false">IF(F4="HK$ billion",E4*1000,IF(F4="HK$ million",E4,IF(F4="億元",E4*100,"")))</f>
        <v>1560</v>
      </c>
      <c r="H4" s="9" t="n">
        <v>46294.9</v>
      </c>
      <c r="I4" s="5" t="n">
        <f aca="false">IF(OR(G4="",H4=""),"",G4/H4)</f>
        <v>0.0336970163020117</v>
      </c>
      <c r="J4" s="2" t="s">
        <v>52</v>
      </c>
      <c r="K4" s="4" t="s">
        <v>96</v>
      </c>
    </row>
    <row r="5" customFormat="false" ht="26.85" hidden="false" customHeight="false" outlineLevel="0" collapsed="false">
      <c r="A5" s="2" t="s">
        <v>97</v>
      </c>
      <c r="B5" s="2" t="n">
        <v>2023</v>
      </c>
      <c r="C5" s="2" t="s">
        <v>74</v>
      </c>
      <c r="D5" s="2" t="s">
        <v>98</v>
      </c>
      <c r="E5" s="2" t="n">
        <v>6.09</v>
      </c>
      <c r="F5" s="2" t="s">
        <v>10</v>
      </c>
      <c r="G5" s="3" t="n">
        <f aca="false">IF(F5="HK$ billion",E5*1000,IF(F5="HK$ million",E5,IF(F5="億元",E5*100,"")))</f>
        <v>6090</v>
      </c>
      <c r="H5" s="9" t="n">
        <v>87477.8</v>
      </c>
      <c r="I5" s="5" t="n">
        <f aca="false">IF(OR(G5="",H5=""),"",G5/H5)</f>
        <v>0.06961766299564</v>
      </c>
      <c r="J5" s="2" t="s">
        <v>57</v>
      </c>
      <c r="K5" s="4" t="s">
        <v>99</v>
      </c>
    </row>
    <row r="6" customFormat="false" ht="15" hidden="false" customHeight="false" outlineLevel="0" collapsed="false">
      <c r="A6" s="2" t="s">
        <v>97</v>
      </c>
      <c r="B6" s="2" t="n">
        <v>2023</v>
      </c>
      <c r="C6" s="2" t="s">
        <v>74</v>
      </c>
      <c r="D6" s="2" t="s">
        <v>100</v>
      </c>
      <c r="E6" s="2" t="n">
        <v>1.06</v>
      </c>
      <c r="F6" s="2" t="s">
        <v>10</v>
      </c>
      <c r="G6" s="3" t="n">
        <f aca="false">IF(F6="HK$ billion",E6*1000,IF(F6="HK$ million",E6,IF(F6="億元",E6*100,"")))</f>
        <v>1060</v>
      </c>
      <c r="H6" s="9" t="n">
        <v>87477.8</v>
      </c>
      <c r="I6" s="5" t="n">
        <f aca="false">IF(OR(G6="",H6=""),"",G6/H6)</f>
        <v>0.0121173600616385</v>
      </c>
      <c r="J6" s="2" t="s">
        <v>57</v>
      </c>
      <c r="K6" s="4" t="s">
        <v>101</v>
      </c>
    </row>
    <row r="7" customFormat="false" ht="26.85" hidden="false" customHeight="false" outlineLevel="0" collapsed="false">
      <c r="A7" s="2" t="s">
        <v>102</v>
      </c>
      <c r="B7" s="2" t="n">
        <v>2023</v>
      </c>
      <c r="C7" s="2" t="s">
        <v>74</v>
      </c>
      <c r="D7" s="2" t="s">
        <v>103</v>
      </c>
      <c r="E7" s="2" t="n">
        <v>3</v>
      </c>
      <c r="F7" s="2" t="s">
        <v>104</v>
      </c>
      <c r="G7" s="3" t="str">
        <f aca="false">IF(F7="HK$ billion",E7*1000,IF(F7="HK$ million",E7,IF(F7="億元",E7*100,"")))</f>
        <v/>
      </c>
      <c r="H7" s="2" t="s">
        <v>105</v>
      </c>
      <c r="I7" s="2" t="s">
        <v>77</v>
      </c>
      <c r="J7" s="2" t="s">
        <v>106</v>
      </c>
      <c r="K7" s="4" t="s">
        <v>107</v>
      </c>
    </row>
    <row r="8" customFormat="false" ht="26.85" hidden="false" customHeight="false" outlineLevel="0" collapsed="false">
      <c r="A8" s="2" t="s">
        <v>108</v>
      </c>
      <c r="B8" s="2" t="n">
        <v>2023</v>
      </c>
      <c r="C8" s="2" t="s">
        <v>74</v>
      </c>
      <c r="D8" s="2" t="s">
        <v>109</v>
      </c>
      <c r="E8" s="2" t="s">
        <v>110</v>
      </c>
      <c r="F8" s="2"/>
      <c r="G8" s="3" t="str">
        <f aca="false">IF(F8="HK$ billion",E8*1000,IF(F8="HK$ million",E8,IF(F8="億元",E8*100,"")))</f>
        <v/>
      </c>
      <c r="H8" s="2" t="s">
        <v>105</v>
      </c>
      <c r="I8" s="2" t="s">
        <v>77</v>
      </c>
      <c r="J8" s="2" t="s">
        <v>106</v>
      </c>
      <c r="K8" s="4" t="s">
        <v>111</v>
      </c>
    </row>
    <row r="9" customFormat="false" ht="15" hidden="false" customHeight="false" outlineLevel="0" collapsed="false">
      <c r="A9" s="2" t="s">
        <v>89</v>
      </c>
      <c r="B9" s="2" t="n">
        <v>2024</v>
      </c>
      <c r="C9" s="2" t="s">
        <v>75</v>
      </c>
      <c r="D9" s="2" t="s">
        <v>112</v>
      </c>
      <c r="E9" s="2" t="n">
        <v>16</v>
      </c>
      <c r="F9" s="2" t="s">
        <v>104</v>
      </c>
      <c r="G9" s="3" t="str">
        <f aca="false">IF(F9="HK$ billion",E9*1000,IF(F9="HK$ million",E9,IF(F9="億元",E9*100,"")))</f>
        <v/>
      </c>
      <c r="H9" s="2" t="s">
        <v>105</v>
      </c>
      <c r="I9" s="2" t="s">
        <v>77</v>
      </c>
      <c r="J9" s="2" t="s">
        <v>113</v>
      </c>
      <c r="K9" s="4" t="s">
        <v>114</v>
      </c>
    </row>
    <row r="10" customFormat="false" ht="26.85" hidden="false" customHeight="false" outlineLevel="0" collapsed="false">
      <c r="A10" s="2" t="s">
        <v>102</v>
      </c>
      <c r="B10" s="2" t="n">
        <v>2024</v>
      </c>
      <c r="C10" s="2" t="s">
        <v>75</v>
      </c>
      <c r="D10" s="2" t="s">
        <v>115</v>
      </c>
      <c r="E10" s="2" t="n">
        <v>5</v>
      </c>
      <c r="F10" s="2" t="s">
        <v>104</v>
      </c>
      <c r="G10" s="3" t="str">
        <f aca="false">IF(F10="HK$ billion",E10*1000,IF(F10="HK$ million",E10,IF(F10="億元",E10*100,"")))</f>
        <v/>
      </c>
      <c r="H10" s="2" t="s">
        <v>105</v>
      </c>
      <c r="I10" s="2" t="s">
        <v>77</v>
      </c>
      <c r="J10" s="2" t="s">
        <v>113</v>
      </c>
      <c r="K10" s="4" t="s">
        <v>116</v>
      </c>
    </row>
    <row r="11" customFormat="false" ht="26.85" hidden="false" customHeight="false" outlineLevel="0" collapsed="false">
      <c r="A11" s="2" t="s">
        <v>117</v>
      </c>
      <c r="B11" s="2" t="n">
        <v>2024</v>
      </c>
      <c r="C11" s="2" t="s">
        <v>75</v>
      </c>
      <c r="D11" s="2" t="s">
        <v>118</v>
      </c>
      <c r="E11" s="2" t="n">
        <v>19.8</v>
      </c>
      <c r="F11" s="2" t="s">
        <v>10</v>
      </c>
      <c r="G11" s="3" t="n">
        <f aca="false">IF(F11="HK$ billion",E11*1000,IF(F11="HK$ million",E11,IF(F11="億元",E11*100,"")))</f>
        <v>19800</v>
      </c>
      <c r="H11" s="9" t="n">
        <v>285800</v>
      </c>
      <c r="I11" s="5" t="n">
        <f aca="false">IF(OR(G11="",H11=""),"",G11/H11)</f>
        <v>0.0692792162351295</v>
      </c>
      <c r="J11" s="2" t="s">
        <v>113</v>
      </c>
      <c r="K11" s="4" t="s">
        <v>119</v>
      </c>
    </row>
    <row r="12" customFormat="false" ht="26.85" hidden="false" customHeight="false" outlineLevel="0" collapsed="false">
      <c r="A12" s="2" t="s">
        <v>89</v>
      </c>
      <c r="B12" s="2" t="n">
        <v>2024</v>
      </c>
      <c r="C12" s="2" t="s">
        <v>75</v>
      </c>
      <c r="D12" s="2" t="s">
        <v>120</v>
      </c>
      <c r="E12" s="2" t="n">
        <v>11.4</v>
      </c>
      <c r="F12" s="2" t="s">
        <v>10</v>
      </c>
      <c r="G12" s="3" t="n">
        <f aca="false">IF(F12="HK$ billion",E12*1000,IF(F12="HK$ million",E12,IF(F12="億元",E12*100,"")))</f>
        <v>11400</v>
      </c>
      <c r="H12" s="9" t="n">
        <v>285800</v>
      </c>
      <c r="I12" s="5" t="n">
        <f aca="false">IF(OR(G12="",H12=""),"",G12/H12)</f>
        <v>0.039888033589923</v>
      </c>
      <c r="J12" s="2" t="s">
        <v>113</v>
      </c>
      <c r="K12" s="4" t="s">
        <v>121</v>
      </c>
    </row>
    <row r="13" customFormat="false" ht="26.85" hidden="false" customHeight="false" outlineLevel="0" collapsed="false">
      <c r="A13" s="2" t="s">
        <v>92</v>
      </c>
      <c r="B13" s="2" t="n">
        <v>2024</v>
      </c>
      <c r="C13" s="2" t="s">
        <v>75</v>
      </c>
      <c r="D13" s="2" t="s">
        <v>122</v>
      </c>
      <c r="E13" s="2" t="s">
        <v>77</v>
      </c>
      <c r="F13" s="2" t="s">
        <v>77</v>
      </c>
      <c r="G13" s="3" t="str">
        <f aca="false">IF(F13="HK$ billion",E13*1000,IF(F13="HK$ million",E13,IF(F13="億元",E13*100,"")))</f>
        <v/>
      </c>
      <c r="H13" s="2" t="s">
        <v>105</v>
      </c>
      <c r="I13" s="2" t="s">
        <v>77</v>
      </c>
      <c r="J13" s="2" t="s">
        <v>113</v>
      </c>
      <c r="K13" s="4" t="s">
        <v>123</v>
      </c>
    </row>
    <row r="14" customFormat="false" ht="15" hidden="false" customHeight="false" outlineLevel="0" collapsed="false">
      <c r="A14" s="2" t="s">
        <v>124</v>
      </c>
      <c r="B14" s="2" t="n">
        <v>2024</v>
      </c>
      <c r="C14" s="2" t="s">
        <v>75</v>
      </c>
      <c r="D14" s="2" t="s">
        <v>125</v>
      </c>
      <c r="E14" s="2" t="s">
        <v>77</v>
      </c>
      <c r="F14" s="2" t="s">
        <v>77</v>
      </c>
      <c r="G14" s="3" t="str">
        <f aca="false">IF(F14="HK$ billion",E14*1000,IF(F14="HK$ million",E14,IF(F14="億元",E14*100,"")))</f>
        <v/>
      </c>
      <c r="H14" s="2" t="s">
        <v>105</v>
      </c>
      <c r="I14" s="2" t="s">
        <v>77</v>
      </c>
      <c r="J14" s="2" t="s">
        <v>113</v>
      </c>
      <c r="K14" s="4" t="s">
        <v>126</v>
      </c>
    </row>
    <row r="15" customFormat="false" ht="26.85" hidden="false" customHeight="false" outlineLevel="0" collapsed="false">
      <c r="A15" s="2" t="s">
        <v>127</v>
      </c>
      <c r="B15" s="2" t="n">
        <v>2024</v>
      </c>
      <c r="C15" s="2" t="s">
        <v>75</v>
      </c>
      <c r="D15" s="2" t="s">
        <v>128</v>
      </c>
      <c r="E15" s="2" t="s">
        <v>77</v>
      </c>
      <c r="F15" s="2" t="s">
        <v>77</v>
      </c>
      <c r="G15" s="3" t="str">
        <f aca="false">IF(F15="HK$ billion",E15*1000,IF(F15="HK$ million",E15,IF(F15="億元",E15*100,"")))</f>
        <v/>
      </c>
      <c r="H15" s="2" t="s">
        <v>105</v>
      </c>
      <c r="I15" s="2" t="s">
        <v>77</v>
      </c>
      <c r="J15" s="2" t="s">
        <v>113</v>
      </c>
      <c r="K15" s="4" t="s">
        <v>129</v>
      </c>
    </row>
    <row r="16" customFormat="false" ht="39.55" hidden="false" customHeight="false" outlineLevel="0" collapsed="false">
      <c r="A16" s="2" t="s">
        <v>130</v>
      </c>
      <c r="B16" s="2" t="n">
        <v>2024</v>
      </c>
      <c r="C16" s="2" t="s">
        <v>75</v>
      </c>
      <c r="D16" s="2" t="s">
        <v>131</v>
      </c>
      <c r="E16" s="2" t="s">
        <v>77</v>
      </c>
      <c r="F16" s="2" t="s">
        <v>77</v>
      </c>
      <c r="G16" s="3" t="str">
        <f aca="false">IF(F16="HK$ billion",E16*1000,IF(F16="HK$ million",E16,IF(F16="億元",E16*100,"")))</f>
        <v/>
      </c>
      <c r="H16" s="2" t="s">
        <v>105</v>
      </c>
      <c r="I16" s="2" t="s">
        <v>77</v>
      </c>
      <c r="J16" s="2" t="s">
        <v>132</v>
      </c>
      <c r="K16" s="4" t="s">
        <v>133</v>
      </c>
    </row>
    <row r="17" customFormat="false" ht="26.85" hidden="false" customHeight="false" outlineLevel="0" collapsed="false">
      <c r="A17" s="2" t="s">
        <v>134</v>
      </c>
      <c r="B17" s="2" t="n">
        <v>2023</v>
      </c>
      <c r="C17" s="2" t="s">
        <v>74</v>
      </c>
      <c r="D17" s="2" t="s">
        <v>135</v>
      </c>
      <c r="E17" s="2" t="s">
        <v>77</v>
      </c>
      <c r="F17" s="2" t="s">
        <v>77</v>
      </c>
      <c r="G17" s="3" t="str">
        <f aca="false">IF(F17="HK$ billion",E17*1000,IF(F17="HK$ million",E17,IF(F17="億元",E17*100,"")))</f>
        <v/>
      </c>
      <c r="H17" s="2" t="s">
        <v>105</v>
      </c>
      <c r="I17" s="2" t="s">
        <v>77</v>
      </c>
      <c r="J17" s="2" t="s">
        <v>57</v>
      </c>
      <c r="K17" s="4" t="s">
        <v>136</v>
      </c>
    </row>
    <row r="18" customFormat="false" ht="26.85" hidden="false" customHeight="false" outlineLevel="0" collapsed="false">
      <c r="A18" s="2" t="s">
        <v>137</v>
      </c>
      <c r="B18" s="2" t="n">
        <v>2025</v>
      </c>
      <c r="C18" s="2" t="s">
        <v>76</v>
      </c>
      <c r="D18" s="2" t="s">
        <v>138</v>
      </c>
      <c r="E18" s="2" t="s">
        <v>77</v>
      </c>
      <c r="F18" s="2" t="s">
        <v>77</v>
      </c>
      <c r="G18" s="3" t="str">
        <f aca="false">IF(F18="HK$ billion",E18*1000,IF(F18="HK$ million",E18,IF(F18="億元",E18*100,"")))</f>
        <v/>
      </c>
      <c r="H18" s="2" t="s">
        <v>105</v>
      </c>
      <c r="I18" s="2" t="s">
        <v>77</v>
      </c>
      <c r="J18" s="2" t="s">
        <v>63</v>
      </c>
      <c r="K18" s="4" t="s">
        <v>139</v>
      </c>
    </row>
    <row r="19" customFormat="false" ht="15" hidden="false" customHeight="false" outlineLevel="0" collapsed="false">
      <c r="A19" s="2" t="s">
        <v>140</v>
      </c>
      <c r="B19" s="2" t="n">
        <v>2026</v>
      </c>
      <c r="C19" s="2" t="s">
        <v>78</v>
      </c>
      <c r="D19" s="2" t="s">
        <v>141</v>
      </c>
      <c r="E19" s="2" t="s">
        <v>77</v>
      </c>
      <c r="F19" s="2" t="s">
        <v>77</v>
      </c>
      <c r="G19" s="3" t="str">
        <f aca="false">IF(F19="HK$ billion",E19*1000,IF(F19="HK$ million",E19,IF(F19="億元",E19*100,"")))</f>
        <v/>
      </c>
      <c r="H19" s="2" t="s">
        <v>105</v>
      </c>
      <c r="I19" s="2" t="s">
        <v>77</v>
      </c>
      <c r="J19" s="2" t="s">
        <v>63</v>
      </c>
      <c r="K19" s="4" t="s">
        <v>142</v>
      </c>
    </row>
    <row r="21" customFormat="false" ht="15" hidden="false" customHeight="false" outlineLevel="0" collapsed="false">
      <c r="A21" s="0" t="s">
        <v>143</v>
      </c>
    </row>
    <row r="22" customFormat="false" ht="15" hidden="false" customHeight="false" outlineLevel="0" collapsed="false">
      <c r="A22" s="0" t="s">
        <v>144</v>
      </c>
    </row>
  </sheetData>
  <autoFilter ref="A1:K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6" t="s">
        <v>145</v>
      </c>
      <c r="B1" s="6" t="s">
        <v>146</v>
      </c>
      <c r="C1" s="6" t="s">
        <v>0</v>
      </c>
      <c r="D1" s="6" t="s">
        <v>147</v>
      </c>
      <c r="E1" s="6" t="s">
        <v>6</v>
      </c>
    </row>
    <row r="2" customFormat="false" ht="15" hidden="false" customHeight="false" outlineLevel="0" collapsed="false">
      <c r="A2" s="2" t="s">
        <v>148</v>
      </c>
      <c r="B2" s="2" t="s">
        <v>149</v>
      </c>
      <c r="C2" s="2" t="n">
        <v>2024</v>
      </c>
      <c r="D2" s="10" t="n">
        <v>1036</v>
      </c>
      <c r="E2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n">
        <v>2024</v>
      </c>
      <c r="D3" s="10" t="n">
        <v>1036</v>
      </c>
      <c r="E3" s="2" t="s">
        <v>150</v>
      </c>
    </row>
    <row r="4" customFormat="false" ht="15" hidden="false" customHeight="false" outlineLevel="0" collapsed="false">
      <c r="A4" s="2" t="s">
        <v>153</v>
      </c>
      <c r="B4" s="2" t="s">
        <v>154</v>
      </c>
      <c r="C4" s="2" t="n">
        <v>2024</v>
      </c>
      <c r="D4" s="10" t="n">
        <v>831</v>
      </c>
      <c r="E4" s="2" t="s">
        <v>150</v>
      </c>
    </row>
    <row r="5" customFormat="false" ht="15" hidden="false" customHeight="false" outlineLevel="0" collapsed="false">
      <c r="A5" s="2" t="s">
        <v>155</v>
      </c>
      <c r="B5" s="2" t="s">
        <v>156</v>
      </c>
      <c r="C5" s="2" t="n">
        <v>2025</v>
      </c>
      <c r="D5" s="10" t="n">
        <v>759</v>
      </c>
      <c r="E5" s="2" t="s">
        <v>150</v>
      </c>
    </row>
    <row r="6" customFormat="false" ht="15" hidden="false" customHeight="false" outlineLevel="0" collapsed="false">
      <c r="A6" s="2" t="s">
        <v>157</v>
      </c>
      <c r="B6" s="2" t="s">
        <v>158</v>
      </c>
      <c r="C6" s="2" t="n">
        <v>2025</v>
      </c>
      <c r="D6" s="10" t="n">
        <v>710</v>
      </c>
      <c r="E6" s="2" t="s">
        <v>150</v>
      </c>
    </row>
    <row r="7" customFormat="false" ht="15" hidden="false" customHeight="false" outlineLevel="0" collapsed="false">
      <c r="A7" s="2" t="s">
        <v>159</v>
      </c>
      <c r="B7" s="2" t="s">
        <v>160</v>
      </c>
      <c r="C7" s="2" t="n">
        <v>2025</v>
      </c>
      <c r="D7" s="10" t="n">
        <v>2392</v>
      </c>
      <c r="E7" s="2" t="s">
        <v>150</v>
      </c>
    </row>
    <row r="8" customFormat="false" ht="15" hidden="false" customHeight="false" outlineLevel="0" collapsed="false">
      <c r="A8" s="2" t="s">
        <v>161</v>
      </c>
      <c r="B8" s="2" t="s">
        <v>162</v>
      </c>
      <c r="C8" s="2" t="n">
        <v>2025</v>
      </c>
      <c r="D8" s="10" t="n">
        <v>1422</v>
      </c>
      <c r="E8" s="2" t="s">
        <v>150</v>
      </c>
    </row>
    <row r="9" customFormat="false" ht="15" hidden="false" customHeight="false" outlineLevel="0" collapsed="false">
      <c r="A9" s="2" t="s">
        <v>163</v>
      </c>
      <c r="B9" s="2" t="s">
        <v>164</v>
      </c>
      <c r="C9" s="2" t="n">
        <v>2025</v>
      </c>
      <c r="D9" s="10" t="n">
        <v>731</v>
      </c>
      <c r="E9" s="2" t="s">
        <v>150</v>
      </c>
    </row>
    <row r="10" customFormat="false" ht="15" hidden="false" customHeight="false" outlineLevel="0" collapsed="false">
      <c r="A10" s="2" t="s">
        <v>165</v>
      </c>
      <c r="B10" s="2" t="s">
        <v>166</v>
      </c>
      <c r="C10" s="2" t="n">
        <v>2026</v>
      </c>
      <c r="D10" s="10" t="n">
        <v>6420</v>
      </c>
      <c r="E10" s="2" t="s">
        <v>150</v>
      </c>
    </row>
    <row r="11" customFormat="false" ht="15" hidden="false" customHeight="false" outlineLevel="0" collapsed="false">
      <c r="A11" s="2" t="s">
        <v>167</v>
      </c>
      <c r="B11" s="2" t="s">
        <v>168</v>
      </c>
      <c r="C11" s="2" t="n">
        <v>2026</v>
      </c>
      <c r="D11" s="10" t="n">
        <v>5000</v>
      </c>
      <c r="E11" s="2" t="s">
        <v>150</v>
      </c>
    </row>
    <row r="12" customFormat="false" ht="15" hidden="false" customHeight="false" outlineLevel="0" collapsed="false">
      <c r="A12" s="2" t="s">
        <v>169</v>
      </c>
      <c r="B12" s="2" t="s">
        <v>170</v>
      </c>
      <c r="C12" s="2" t="n">
        <v>2026</v>
      </c>
      <c r="D12" s="10" t="n">
        <v>5540</v>
      </c>
      <c r="E12" s="2" t="s">
        <v>150</v>
      </c>
    </row>
    <row r="13" customFormat="false" ht="15" hidden="false" customHeight="false" outlineLevel="0" collapsed="false">
      <c r="A13" s="2" t="s">
        <v>171</v>
      </c>
      <c r="B13" s="2" t="s">
        <v>172</v>
      </c>
      <c r="C13" s="2" t="n">
        <v>2026</v>
      </c>
      <c r="D13" s="10" t="n">
        <v>1579</v>
      </c>
      <c r="E13" s="2" t="s">
        <v>150</v>
      </c>
    </row>
    <row r="14" customFormat="false" ht="15" hidden="false" customHeight="false" outlineLevel="0" collapsed="false">
      <c r="A14" s="2" t="s">
        <v>173</v>
      </c>
      <c r="B14" s="2" t="s">
        <v>172</v>
      </c>
      <c r="C14" s="2" t="n">
        <v>2026</v>
      </c>
      <c r="D14" s="10" t="n">
        <v>499</v>
      </c>
      <c r="E14" s="2" t="s">
        <v>150</v>
      </c>
    </row>
    <row r="15" customFormat="false" ht="15" hidden="false" customHeight="false" outlineLevel="0" collapsed="false">
      <c r="A15" s="2" t="s">
        <v>174</v>
      </c>
      <c r="B15" s="2" t="s">
        <v>175</v>
      </c>
      <c r="C15" s="2" t="n">
        <v>2026</v>
      </c>
      <c r="D15" s="10" t="n">
        <v>480</v>
      </c>
      <c r="E15" s="2" t="s">
        <v>150</v>
      </c>
    </row>
    <row r="17" customFormat="false" ht="15" hidden="false" customHeight="false" outlineLevel="0" collapsed="false">
      <c r="A17" s="2" t="s">
        <v>176</v>
      </c>
      <c r="B17" s="2" t="n">
        <v>28.4</v>
      </c>
    </row>
    <row r="18" customFormat="false" ht="15" hidden="false" customHeight="false" outlineLevel="0" collapsed="false">
      <c r="A18" s="7" t="s">
        <v>177</v>
      </c>
      <c r="B18" s="11" t="n">
        <f aca="false">SUM(D2:D15)</f>
        <v>28435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78"/>
  </cols>
  <sheetData>
    <row r="1" customFormat="false" ht="31.5" hidden="false" customHeight="true" outlineLevel="0" collapsed="false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87</v>
      </c>
      <c r="G1" s="1" t="s">
        <v>182</v>
      </c>
      <c r="H1" s="1" t="s">
        <v>7</v>
      </c>
    </row>
    <row r="2" customFormat="false" ht="15" hidden="false" customHeight="false" outlineLevel="0" collapsed="false">
      <c r="A2" s="2" t="n">
        <v>2022</v>
      </c>
      <c r="B2" s="7" t="n">
        <f aca="false">COUNTIF(C18_listings!C:C,A2)</f>
        <v>0</v>
      </c>
      <c r="C2" s="11" t="n">
        <f aca="false">SUMIF(C18_listings!C:C,A2,C18_listings!D:D)</f>
        <v>0</v>
      </c>
      <c r="D2" s="12" t="n">
        <v>0.0475</v>
      </c>
      <c r="E2" s="2" t="n">
        <v>31.7</v>
      </c>
      <c r="F2" s="9" t="n">
        <v>104570.3</v>
      </c>
      <c r="G2" s="5" t="n">
        <f aca="false">IF(F2="", "", C2/F2)</f>
        <v>0</v>
      </c>
      <c r="H2" s="4" t="s">
        <v>183</v>
      </c>
    </row>
    <row r="3" customFormat="false" ht="15" hidden="false" customHeight="false" outlineLevel="0" collapsed="false">
      <c r="A3" s="2" t="n">
        <v>2023</v>
      </c>
      <c r="B3" s="7" t="n">
        <f aca="false">COUNTIF(C18_listings!C:C,A3)</f>
        <v>0</v>
      </c>
      <c r="C3" s="11" t="n">
        <f aca="false">SUMIF(C18_listings!C:C,A3,C18_listings!D:D)</f>
        <v>0</v>
      </c>
      <c r="D3" s="12" t="n">
        <v>0.0575</v>
      </c>
      <c r="E3" s="2" t="n">
        <v>31.1</v>
      </c>
      <c r="F3" s="9" t="n">
        <v>46294.9</v>
      </c>
      <c r="G3" s="5" t="n">
        <f aca="false">IF(F3="", "", C3/F3)</f>
        <v>0</v>
      </c>
      <c r="H3" s="4" t="s">
        <v>184</v>
      </c>
    </row>
    <row r="4" customFormat="false" ht="15" hidden="false" customHeight="false" outlineLevel="0" collapsed="false">
      <c r="A4" s="2" t="n">
        <v>2024</v>
      </c>
      <c r="B4" s="7" t="n">
        <f aca="false">COUNTIF(C18_listings!C:C,A4)</f>
        <v>3</v>
      </c>
      <c r="C4" s="11" t="n">
        <f aca="false">SUMIF(C18_listings!C:C,A4,C18_listings!D:D)</f>
        <v>2903</v>
      </c>
      <c r="D4" s="12" t="n">
        <v>0.0475</v>
      </c>
      <c r="E4" s="2" t="n">
        <v>48.2</v>
      </c>
      <c r="F4" s="9" t="n">
        <v>87477.8</v>
      </c>
      <c r="G4" s="5" t="n">
        <f aca="false">IF(F4="", "", C4/F4)</f>
        <v>0.0331855625084307</v>
      </c>
      <c r="H4" s="4" t="s">
        <v>185</v>
      </c>
    </row>
    <row r="5" customFormat="false" ht="26.85" hidden="false" customHeight="false" outlineLevel="0" collapsed="false">
      <c r="A5" s="2" t="n">
        <v>2025</v>
      </c>
      <c r="B5" s="7" t="n">
        <f aca="false">COUNTIF(C18_listings!C:C,A5)</f>
        <v>5</v>
      </c>
      <c r="C5" s="11" t="n">
        <f aca="false">SUMIF(C18_listings!C:C,A5,C18_listings!D:D)</f>
        <v>6014</v>
      </c>
      <c r="D5" s="12" t="n">
        <v>0.04</v>
      </c>
      <c r="E5" s="2" t="n">
        <v>121.1</v>
      </c>
      <c r="F5" s="9" t="n">
        <v>285800</v>
      </c>
      <c r="G5" s="5" t="n">
        <f aca="false">IF(F5="", "", C5/F5)</f>
        <v>0.0210426871938418</v>
      </c>
      <c r="H5" s="4" t="s">
        <v>186</v>
      </c>
    </row>
    <row r="6" customFormat="false" ht="26.85" hidden="false" customHeight="false" outlineLevel="0" collapsed="false">
      <c r="A6" s="2" t="n">
        <v>2026</v>
      </c>
      <c r="B6" s="7" t="n">
        <f aca="false">COUNTIF(C18_listings!C:C,A6)</f>
        <v>6</v>
      </c>
      <c r="C6" s="11" t="n">
        <f aca="false">SUMIF(C18_listings!C:C,A6,C18_listings!D:D)</f>
        <v>19518</v>
      </c>
      <c r="D6" s="2" t="s">
        <v>77</v>
      </c>
      <c r="E6" s="2" t="s">
        <v>77</v>
      </c>
      <c r="F6" s="2" t="s">
        <v>77</v>
      </c>
      <c r="G6" s="2" t="s">
        <v>77</v>
      </c>
      <c r="H6" s="4" t="s">
        <v>187</v>
      </c>
    </row>
    <row r="8" customFormat="false" ht="15" hidden="false" customHeight="false" outlineLevel="0" collapsed="false">
      <c r="A8" s="0" t="s">
        <v>188</v>
      </c>
    </row>
    <row r="9" customFormat="false" ht="15" hidden="false" customHeight="false" outlineLevel="0" collapsed="false">
      <c r="A9" s="0" t="s">
        <v>189</v>
      </c>
    </row>
    <row r="10" customFormat="false" ht="15" hidden="false" customHeight="false" outlineLevel="0" collapsed="false">
      <c r="A10" s="0" t="s">
        <v>190</v>
      </c>
    </row>
    <row r="11" customFormat="false" ht="15" hidden="false" customHeight="false" outlineLevel="0" collapsed="false">
      <c r="A11" s="0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2026-10-07T04:12:22Z</dcterms:created>
  <dc:creator>openpyxl</dc:creator>
  <dc:description/>
  <dc:language>en-US</dc:language>
  <cp:lastModifiedBy/>
  <dcterms:modified xsi:type="dcterms:W3CDTF">2026-10-07T04:12:23Z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