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Year_after" sheetId="2" state="visible" r:id="rId4"/>
    <sheet name="NLR_listings" sheetId="3" state="visible" r:id="rId5"/>
    <sheet name="Windows" sheetId="4" state="visible" r:id="rId6"/>
    <sheet name="Industry_windows" sheetId="5" state="visible" r:id="rId7"/>
    <sheet name="Industry_by_year" sheetId="6" state="visible" r:id="rId8"/>
    <sheet name="Known_misses" sheetId="7" state="visible" r:id="rId9"/>
    <sheet name="HKEX_statements" sheetId="8" state="visible" r:id="rId10"/>
    <sheet name="C18_listings" sheetId="9" state="visible" r:id="rId11"/>
    <sheet name="C18_before_after" sheetId="10" state="visible" r:id="rId12"/>
  </sheets>
  <definedNames>
    <definedName function="false" hidden="true" localSheetId="4" name="_xlnm._FilterDatabase" vbProcedure="false">Industry_windows!$A$1:$J$49</definedName>
    <definedName function="false" hidden="true" localSheetId="0" name="_xlnm._FilterDatabase" vbProcedure="false">Inputs!$A$1:$J$26</definedName>
    <definedName function="false" hidden="true" localSheetId="2" name="_xlnm._FilterDatabase" vbProcedure="false">NLR_listings!$A$1:$S$562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7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8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19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0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1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2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3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4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5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  <comment ref="D26" authorId="0">
      <text>
        <r>
          <rPr>
            <sz val="10"/>
            <rFont val="Arial"/>
            <family val="2"/>
          </rPr>
          <t xml:space="preserve">Input copied from the source in column G. Do not replace with a calculated total.</t>
        </r>
      </text>
    </comment>
  </commentList>
</comments>
</file>

<file path=xl/sharedStrings.xml><?xml version="1.0" encoding="utf-8"?>
<sst xmlns="http://schemas.openxmlformats.org/spreadsheetml/2006/main" count="2219" uniqueCount="1390">
  <si>
    <t xml:space="preserve">year</t>
  </si>
  <si>
    <t xml:space="preserve">kind</t>
  </si>
  <si>
    <t xml:space="preserve">item</t>
  </si>
  <si>
    <t xml:space="preserve">amount_as_printed</t>
  </si>
  <si>
    <t xml:space="preserve">unit</t>
  </si>
  <si>
    <t xml:space="preserve">hkd_million</t>
  </si>
  <si>
    <t xml:space="preserve">source_url</t>
  </si>
  <si>
    <t xml:space="preserve">note</t>
  </si>
  <si>
    <t xml:space="preserve">status</t>
  </si>
  <si>
    <t xml:space="preserve">verb_as_printed</t>
  </si>
  <si>
    <t xml:space="preserve">funding</t>
  </si>
  <si>
    <t xml:space="preserve">Co-Investment Fund | Enterprises setting up in Hong Kong</t>
  </si>
  <si>
    <t xml:space="preserve">HK$ billion</t>
  </si>
  <si>
    <t xml:space="preserve">https://www.ceo.gov.hk/public/open-data/en/policy_address/pa2022.xml</t>
  </si>
  <si>
    <t xml:space="preserve">Set aside from the Future Fund.</t>
  </si>
  <si>
    <t xml:space="preserve">new in this address</t>
  </si>
  <si>
    <t xml:space="preserve">set aside $30 billion from the Future Fund to establish the Co-Investment Fund</t>
  </si>
  <si>
    <t xml:space="preserve">RAISe+ Scheme | University research teams with potential to become start-ups</t>
  </si>
  <si>
    <t xml:space="preserve">Earmarked for launch the next year, on a matching basis, for at least 100 teams.</t>
  </si>
  <si>
    <t xml:space="preserve">We will earmark $10 billion to launch</t>
  </si>
  <si>
    <t xml:space="preserve">Strategic Tech Fund | Life and health technology, AI and data science, advanced manufacturing and new energy technology</t>
  </si>
  <si>
    <t xml:space="preserve">Used with OASES. The goal of attracting at least 100 I&amp;T enterprises is a target, not a second government sum.</t>
  </si>
  <si>
    <t xml:space="preserve">already in place before this address</t>
  </si>
  <si>
    <t xml:space="preserve">making use of the $5 billion Strategic Tech Fund</t>
  </si>
  <si>
    <t xml:space="preserve">New Industrialisation Acceleration Scheme | Life and health technologies, AI and data science, advanced manufacturing, new energy technologies</t>
  </si>
  <si>
    <t xml:space="preserve">https://www.ceo.gov.hk/public/open-data/en/policy_address/pa2023.xml</t>
  </si>
  <si>
    <t xml:space="preserve">Matching of 1 (Government) to 2 (company), funding ceiling HK$200 million.</t>
  </si>
  <si>
    <t xml:space="preserve">set up a $10 billion New Industrialisation Acceleration Scheme</t>
  </si>
  <si>
    <t xml:space="preserve">Film Development Fund and CreateSmart Initiative | Film, cultural and creative industries</t>
  </si>
  <si>
    <t xml:space="preserve">One injection shared by the two schemes.</t>
  </si>
  <si>
    <t xml:space="preserve">We will also inject a total of $4.3 billion</t>
  </si>
  <si>
    <t xml:space="preserve">Research Matching Grant Scheme | Research at institutions</t>
  </si>
  <si>
    <t xml:space="preserve">https://www.ceo.gov.hk/public/open-data/en/policy_address/pa2024.xml</t>
  </si>
  <si>
    <t xml:space="preserve">Paragraph 78. A new round.</t>
  </si>
  <si>
    <t xml:space="preserve">The Government will launch a new round of Research Matching Grant Scheme totalling $1.5 billion</t>
  </si>
  <si>
    <t xml:space="preserve">I&amp;T Industry-Oriented Fund | Life and health technology, AI and robotics, semi-conductors and smart devices, advanced materials, new energy</t>
  </si>
  <si>
    <t xml:space="preserve">Fund-of-funds. The 2026 address says it is expected to launch in 2026.</t>
  </si>
  <si>
    <t xml:space="preserve">setting up a $10 billion I&amp;T Industry-Oriented Fund</t>
  </si>
  <si>
    <t xml:space="preserve">Innovation and Technology Venture Fund | Start-ups in strategic industries</t>
  </si>
  <si>
    <t xml:space="preserve">Redeployed money, set up jointly with the market, on a matching basis.</t>
  </si>
  <si>
    <t xml:space="preserve">We will redeploy $1.5 billion</t>
  </si>
  <si>
    <t xml:space="preserve">I&amp;T Accelerator Pilot Scheme | Start-up accelerators</t>
  </si>
  <si>
    <t xml:space="preserve">HK$ million</t>
  </si>
  <si>
    <t xml:space="preserve">Paragraph 80. Matching 1 to 2, subsidy ceiling HK$30 million.</t>
  </si>
  <si>
    <t xml:space="preserve">The Government will launch the I&amp;T Accelerator Pilot Scheme with a funding allocation of $180 million</t>
  </si>
  <si>
    <t xml:space="preserve">New Energy Transport Fund | Electric taxis and franchised buses, hydrogen fuel-cell heavy vehicles</t>
  </si>
  <si>
    <t xml:space="preserve">Paragraph 85 says around HK$750 million.</t>
  </si>
  <si>
    <t xml:space="preserve">The Government will earmark around $750 million</t>
  </si>
  <si>
    <t xml:space="preserve">Frontier Technology Research Support Scheme | AI and other frontier research</t>
  </si>
  <si>
    <t xml:space="preserve">https://www.ceo.gov.hk/public/open-data/en/policy_address/pa2025.xml</t>
  </si>
  <si>
    <t xml:space="preserve">Paragraph 68. Announced earlier. Applications to open soon.</t>
  </si>
  <si>
    <t xml:space="preserve">The Government earlier announced the launch of the $3 billion</t>
  </si>
  <si>
    <t xml:space="preserve">Hong Kong AI Research and Development Institute | AI research, transfer, and use cases</t>
  </si>
  <si>
    <t xml:space="preserve">Paragraph 69. Earmarked for establishment in 2026.</t>
  </si>
  <si>
    <t xml:space="preserve">We have also earmarked $1 billion</t>
  </si>
  <si>
    <t xml:space="preserve">Aerospace Technology special call | Aerospace technology</t>
  </si>
  <si>
    <t xml:space="preserve">The sentence says over HK$100 million for six university projects. The cell stores 100.</t>
  </si>
  <si>
    <t xml:space="preserve">has allocated over $100 million</t>
  </si>
  <si>
    <t xml:space="preserve">Innovation and Technology Venture Fund, enhanced scheme | I&amp;T venture funds</t>
  </si>
  <si>
    <t xml:space="preserve">https://www.ceo.gov.hk/public/open-data/en/policy_address/pa2026.xml</t>
  </si>
  <si>
    <t xml:space="preserve">An additional earmark. It is not the HK$1.5 billion redeployed in 2024.</t>
  </si>
  <si>
    <t xml:space="preserve">An additional $1 billion has been earmarked</t>
  </si>
  <si>
    <t xml:space="preserve">Artificial Intelligence Subsidy Scheme | High-performance computing for the AI institute</t>
  </si>
  <si>
    <t xml:space="preserve">Paragraph 201.</t>
  </si>
  <si>
    <t xml:space="preserve">The Government will inject $1 billion</t>
  </si>
  <si>
    <t xml:space="preserve">AI for Welfare Lab | AI in social welfare services</t>
  </si>
  <si>
    <t xml:space="preserve">Paragraph 113. WelfareHK.ai.</t>
  </si>
  <si>
    <t xml:space="preserve">A sum of $300 million will be allocated</t>
  </si>
  <si>
    <t xml:space="preserve">Construction Innovation and Technology Fund | I&amp;T in the construction industry</t>
  </si>
  <si>
    <t xml:space="preserve">Paragraph 333. The Construction Industry Council's HK$400 million is not government funding.</t>
  </si>
  <si>
    <t xml:space="preserve">We injected $1 billion into the Construction Innovation and Technology Fund (CITF) this year</t>
  </si>
  <si>
    <t xml:space="preserve">outcome_IPO</t>
  </si>
  <si>
    <t xml:space="preserve">IPO</t>
  </si>
  <si>
    <t xml:space="preserve">https://www.hkex.com.hk/-/media/HKEX-Market/Market-Data/Statistics/Consolidated-Reports/Annual-Market-Statistics/FY_2023-Annual-Market-Stat_Eng.pdf</t>
  </si>
  <si>
    <t xml:space="preserve">29 Dec 2023. Printed change -55.8%. Market Statistics 2023, p.3. Main Board and GEM. Year after the 19 Oct 2022 address.</t>
  </si>
  <si>
    <t xml:space="preserve">outcome_ADT</t>
  </si>
  <si>
    <t xml:space="preserve">ADT</t>
  </si>
  <si>
    <t xml:space="preserve">29 Dec 2023. Printed change -15.9%. Market Statistics 2023, p.3. Average daily turnover.</t>
  </si>
  <si>
    <t xml:space="preserve">https://www.hkex.com.hk/-/media/HKEX-Market/Market-Data/Statistics/Consolidated-Reports/Annual-Market-Statistics/2024FY-Ann-Mkt-Stat_eng.pdf</t>
  </si>
  <si>
    <t xml:space="preserve">31 Dec 2024. Printed change +88.9%. Market Statistics 2024, p.3. Main Board and GEM. Year after the 25 Oct 2023 address.</t>
  </si>
  <si>
    <t xml:space="preserve">31 Dec 2024. Printed change +25.5%. Market Statistics 2024, p.3. Average daily turnover.</t>
  </si>
  <si>
    <t xml:space="preserve">https://www.hkex.com.hk/-/media/HKEX-Market/News/News-Release/2026/260226news/260226news_eng.pdf</t>
  </si>
  <si>
    <t xml:space="preserve">31 Dec 2025. Printed change +226%. 2025 Final Results, p.11. 119 IPOs. Page 17 prints 286.8 and is not averaged in.</t>
  </si>
  <si>
    <t xml:space="preserve">31 Dec 2025. Printed change +90%. 2025 Final Results, p.11. Headline ADT. Year after the 16 Oct 2024 address.</t>
  </si>
  <si>
    <t xml:space="preserve">https://www.hkex.com.hk/Market-Data/Statistics/Consolidated-Reports/HKEX-Monthly-Market-Highlights?sc_lang=en</t>
  </si>
  <si>
    <t xml:space="preserve">31 Aug 2026. Printed change +153%. First eight months only, versus HK$135.1 billion a year earlier. Part of the year after the 17 Sep 2025 address.</t>
  </si>
  <si>
    <t xml:space="preserve">31 Aug 2026. Printed change +14%. First eight months, versus HK$248.3 billion a year earlier.</t>
  </si>
  <si>
    <t xml:space="preserve">address_year</t>
  </si>
  <si>
    <t xml:space="preserve">outcome_year</t>
  </si>
  <si>
    <t xml:space="preserve">board_window</t>
  </si>
  <si>
    <t xml:space="preserve">new_funding_hkd_million</t>
  </si>
  <si>
    <t xml:space="preserve">already_in_place_hkd_million</t>
  </si>
  <si>
    <t xml:space="preserve">outcome_ipo_hkd_million</t>
  </si>
  <si>
    <t xml:space="preserve">outcome_adt_hkd_million</t>
  </si>
  <si>
    <t xml:space="preserve">2023 full year</t>
  </si>
  <si>
    <t xml:space="preserve">2024 full year</t>
  </si>
  <si>
    <t xml:space="preserve">2025 full year</t>
  </si>
  <si>
    <t xml:space="preserve">2026, first eight months</t>
  </si>
  <si>
    <t xml:space="preserve">not stated in source</t>
  </si>
  <si>
    <t xml:space="preserve">2027 not published</t>
  </si>
  <si>
    <t xml:space="preserve">New funding counts only rows whose verb is new in that address. The two money columns are not divided by IPO funds.</t>
  </si>
  <si>
    <t xml:space="preserve">2026 IPO and ADT are the first eight months. 2027 is not stated in source.</t>
  </si>
  <si>
    <t xml:space="preserve">code</t>
  </si>
  <si>
    <t xml:space="preserve">company</t>
  </si>
  <si>
    <t xml:space="preserve">listed</t>
  </si>
  <si>
    <t xml:space="preserve">listing_year</t>
  </si>
  <si>
    <t xml:space="preserve">hk_offer_hkd_million</t>
  </si>
  <si>
    <t xml:space="preserve">intl_offer_hkd_million</t>
  </si>
  <si>
    <t xml:space="preserve">funds_hkd_million</t>
  </si>
  <si>
    <t xml:space="preserve">B_marker</t>
  </si>
  <si>
    <t xml:space="preserve">P_marker</t>
  </si>
  <si>
    <t xml:space="preserve">Life and health</t>
  </si>
  <si>
    <t xml:space="preserve">AI and robotics</t>
  </si>
  <si>
    <t xml:space="preserve">Semi-conductors</t>
  </si>
  <si>
    <t xml:space="preserve">New energy</t>
  </si>
  <si>
    <t xml:space="preserve">Film and creative</t>
  </si>
  <si>
    <t xml:space="preserve">Aerospace</t>
  </si>
  <si>
    <t xml:space="preserve">Construction</t>
  </si>
  <si>
    <t xml:space="preserve">excluded_by_hand</t>
  </si>
  <si>
    <t xml:space="preserve">known_miss_industry</t>
  </si>
  <si>
    <t xml:space="preserve">09600</t>
  </si>
  <si>
    <t xml:space="preserve">Newlink Technology Inc.</t>
  </si>
  <si>
    <t xml:space="preserve">https://www2.hkexnews.hk/-/media/HKEXnews/Homepage/New-Listings/New-Listing-Information/New-Listing-Report/Main/NLR2021_Eng.xlsx</t>
  </si>
  <si>
    <t xml:space="preserve">01855</t>
  </si>
  <si>
    <t xml:space="preserve">ZONBONG LANDSCAPE Environmental Limited</t>
  </si>
  <si>
    <t xml:space="preserve">01440</t>
  </si>
  <si>
    <t xml:space="preserve">Deyun Holding Ltd.</t>
  </si>
  <si>
    <t xml:space="preserve">02129</t>
  </si>
  <si>
    <t xml:space="preserve">Legion Consortium Limited</t>
  </si>
  <si>
    <t xml:space="preserve">02153</t>
  </si>
  <si>
    <t xml:space="preserve">Tat Hong Equipment Service Co., Ltd.</t>
  </si>
  <si>
    <t xml:space="preserve">01490</t>
  </si>
  <si>
    <t xml:space="preserve">Cheshi Holdings Limited</t>
  </si>
  <si>
    <t xml:space="preserve">02146</t>
  </si>
  <si>
    <t xml:space="preserve">Roiserv Lifestyle Services Co., Ltd. - H Shares</t>
  </si>
  <si>
    <t xml:space="preserve">02125</t>
  </si>
  <si>
    <t xml:space="preserve">Strawbear Entertainment Group</t>
  </si>
  <si>
    <t xml:space="preserve">01643</t>
  </si>
  <si>
    <t xml:space="preserve">Modern Chinese Medicine Group Co., Ltd.</t>
  </si>
  <si>
    <t xml:space="preserve">02158</t>
  </si>
  <si>
    <t xml:space="preserve">Yidu Tech Inc.</t>
  </si>
  <si>
    <t xml:space="preserve">09608</t>
  </si>
  <si>
    <t xml:space="preserve">Sundy Service Group Co. Ltd</t>
  </si>
  <si>
    <t xml:space="preserve">02159</t>
  </si>
  <si>
    <t xml:space="preserve">Mediwelcome Healthcare Management &amp; Technology Inc.</t>
  </si>
  <si>
    <t xml:space="preserve">06668</t>
  </si>
  <si>
    <t xml:space="preserve">E-Star Commercial Management Company Limited</t>
  </si>
  <si>
    <t xml:space="preserve">02160</t>
  </si>
  <si>
    <t xml:space="preserve">MicroPort CardioFlow Medtech Corporation - B</t>
  </si>
  <si>
    <t xml:space="preserve">02161</t>
  </si>
  <si>
    <t xml:space="preserve">JBM (Healthcare) Limited</t>
  </si>
  <si>
    <t xml:space="preserve">01024</t>
  </si>
  <si>
    <t xml:space="preserve">Kuaishou Technology - W</t>
  </si>
  <si>
    <t xml:space="preserve">02170</t>
  </si>
  <si>
    <t xml:space="preserve">Suzhou Basecare Medical Corporation Limited - B - H Shares</t>
  </si>
  <si>
    <t xml:space="preserve">06606</t>
  </si>
  <si>
    <t xml:space="preserve">New Horizon Health Limited - B</t>
  </si>
  <si>
    <t xml:space="preserve">01473</t>
  </si>
  <si>
    <t xml:space="preserve">Pangaea Connectivity Technology Limited</t>
  </si>
  <si>
    <t xml:space="preserve">06127</t>
  </si>
  <si>
    <t xml:space="preserve">JOINN Laboratories (China) Co., Ltd.</t>
  </si>
  <si>
    <t xml:space="preserve">06600</t>
  </si>
  <si>
    <t xml:space="preserve">SciClone Pharmaceuticals (Holdings) Limited</t>
  </si>
  <si>
    <t xml:space="preserve">06601</t>
  </si>
  <si>
    <t xml:space="preserve">Cheerwin Group Limited</t>
  </si>
  <si>
    <t xml:space="preserve">01413</t>
  </si>
  <si>
    <t xml:space="preserve">Kwong Luen Engineering Holdings Limited</t>
  </si>
  <si>
    <t xml:space="preserve">02518</t>
  </si>
  <si>
    <t xml:space="preserve">Autohome Inc. - S</t>
  </si>
  <si>
    <t xml:space="preserve">01927</t>
  </si>
  <si>
    <t xml:space="preserve">Jiujiuwang Food International Limited</t>
  </si>
  <si>
    <t xml:space="preserve">09888</t>
  </si>
  <si>
    <t xml:space="preserve">Baidu, Inc. - SW</t>
  </si>
  <si>
    <t xml:space="preserve">02187</t>
  </si>
  <si>
    <t xml:space="preserve">Zhixin Group Holding Limited</t>
  </si>
  <si>
    <t xml:space="preserve">09626</t>
  </si>
  <si>
    <t xml:space="preserve">Bilibili Inc. - SW</t>
  </si>
  <si>
    <t xml:space="preserve">06608</t>
  </si>
  <si>
    <t xml:space="preserve">Bairong Inc. - W</t>
  </si>
  <si>
    <t xml:space="preserve">06939</t>
  </si>
  <si>
    <t xml:space="preserve">MEGAIN Holding (Cayman) Co., Ltd.</t>
  </si>
  <si>
    <t xml:space="preserve">02195</t>
  </si>
  <si>
    <t xml:space="preserve">Unity Enterprise Holdings Limited</t>
  </si>
  <si>
    <t xml:space="preserve">09959</t>
  </si>
  <si>
    <t xml:space="preserve">Linklogis Inc. - W</t>
  </si>
  <si>
    <t xml:space="preserve">09961</t>
  </si>
  <si>
    <t xml:space="preserve">Trip.com Group Limited - S</t>
  </si>
  <si>
    <t xml:space="preserve">06622</t>
  </si>
  <si>
    <t xml:space="preserve">Zhaoke Ophthalmology Limited - B</t>
  </si>
  <si>
    <t xml:space="preserve">02176</t>
  </si>
  <si>
    <t xml:space="preserve">CCID Consulting Co. Limited - H Shares</t>
  </si>
  <si>
    <t xml:space="preserve">03658</t>
  </si>
  <si>
    <t xml:space="preserve">New Hope Service Holdings Limited</t>
  </si>
  <si>
    <t xml:space="preserve">02618</t>
  </si>
  <si>
    <t xml:space="preserve">JD Logistics, Inc.</t>
  </si>
  <si>
    <t xml:space="preserve">09982</t>
  </si>
  <si>
    <t xml:space="preserve">Central China Management Co. Limited</t>
  </si>
  <si>
    <t xml:space="preserve">06699</t>
  </si>
  <si>
    <t xml:space="preserve">Angelalign Technology Inc.</t>
  </si>
  <si>
    <t xml:space="preserve">02171</t>
  </si>
  <si>
    <t xml:space="preserve">CARsgen Therapeutics Holdings Limited - B</t>
  </si>
  <si>
    <t xml:space="preserve">09858</t>
  </si>
  <si>
    <t xml:space="preserve">China Youran Dairy Group Limited</t>
  </si>
  <si>
    <t xml:space="preserve">02155</t>
  </si>
  <si>
    <t xml:space="preserve">Morimatsu International Holdings Co. Limited</t>
  </si>
  <si>
    <t xml:space="preserve">06626</t>
  </si>
  <si>
    <t xml:space="preserve">Yuexiu Services Group Limited</t>
  </si>
  <si>
    <t xml:space="preserve">00013</t>
  </si>
  <si>
    <t xml:space="preserve">HUTCHMED (China) Limited</t>
  </si>
  <si>
    <t xml:space="preserve">02150</t>
  </si>
  <si>
    <t xml:space="preserve">Nayuki Holdings Limited</t>
  </si>
  <si>
    <t xml:space="preserve">00606</t>
  </si>
  <si>
    <t xml:space="preserve">SCE Intelligent Commercial Management Holdings Limited</t>
  </si>
  <si>
    <t xml:space="preserve">02190</t>
  </si>
  <si>
    <t xml:space="preserve">Zylox-Tonbridge Medical Technology Co., Ltd. - B - H Shares</t>
  </si>
  <si>
    <t xml:space="preserve">02219</t>
  </si>
  <si>
    <t xml:space="preserve">Chaoju Eye Care Holdings Limited</t>
  </si>
  <si>
    <t xml:space="preserve">09868</t>
  </si>
  <si>
    <t xml:space="preserve">XPeng Inc. - W</t>
  </si>
  <si>
    <t xml:space="preserve">02162</t>
  </si>
  <si>
    <t xml:space="preserve">Keymed Biosciences Inc. - B</t>
  </si>
  <si>
    <t xml:space="preserve">01965</t>
  </si>
  <si>
    <t xml:space="preserve">Landsea Green Life Service Company Limited</t>
  </si>
  <si>
    <t xml:space="preserve">02209</t>
  </si>
  <si>
    <t xml:space="preserve">YesAsia Holdings Limited</t>
  </si>
  <si>
    <t xml:space="preserve">02165</t>
  </si>
  <si>
    <t xml:space="preserve">Ling Yue Services Group Limited</t>
  </si>
  <si>
    <t xml:space="preserve">02177</t>
  </si>
  <si>
    <t xml:space="preserve">UNQ Holdings Limited</t>
  </si>
  <si>
    <t xml:space="preserve">02137</t>
  </si>
  <si>
    <t xml:space="preserve">Brii Biosciences Limited - B</t>
  </si>
  <si>
    <t xml:space="preserve">06913</t>
  </si>
  <si>
    <t xml:space="preserve">South China Vocational Education Group Company Limited</t>
  </si>
  <si>
    <t xml:space="preserve">06909</t>
  </si>
  <si>
    <t xml:space="preserve">BetterLife Holding Limited</t>
  </si>
  <si>
    <t xml:space="preserve">02215</t>
  </si>
  <si>
    <t xml:space="preserve">Dexin Services Group Limited</t>
  </si>
  <si>
    <t xml:space="preserve">02192</t>
  </si>
  <si>
    <t xml:space="preserve">Medlive Technology Co., Ltd.</t>
  </si>
  <si>
    <t xml:space="preserve">02175</t>
  </si>
  <si>
    <t xml:space="preserve">China General Education Group Limited</t>
  </si>
  <si>
    <t xml:space="preserve">06616</t>
  </si>
  <si>
    <t xml:space="preserve">Global New Material International Holdings Limited</t>
  </si>
  <si>
    <t xml:space="preserve">02205</t>
  </si>
  <si>
    <t xml:space="preserve">Kangqiao Service Group Limited</t>
  </si>
  <si>
    <t xml:space="preserve">09960</t>
  </si>
  <si>
    <t xml:space="preserve">Kindstar Globalgene Technology, Inc.</t>
  </si>
  <si>
    <t xml:space="preserve">02207</t>
  </si>
  <si>
    <t xml:space="preserve">Ronshine Service Holding Co., Ltd</t>
  </si>
  <si>
    <t xml:space="preserve">06611</t>
  </si>
  <si>
    <t xml:space="preserve">Sanxun Holdings Group Limited</t>
  </si>
  <si>
    <t xml:space="preserve">02015</t>
  </si>
  <si>
    <t xml:space="preserve">Li Auto Inc. - W</t>
  </si>
  <si>
    <t xml:space="preserve">06609</t>
  </si>
  <si>
    <t xml:space="preserve">Shanghai HeartCare Medical Technology Corporation Limited - B - H Shares</t>
  </si>
  <si>
    <t xml:space="preserve">06669</t>
  </si>
  <si>
    <t xml:space="preserve">Acotec Scientific Holdings Limited - B</t>
  </si>
  <si>
    <t xml:space="preserve">09869</t>
  </si>
  <si>
    <t xml:space="preserve">Helens International Holdings Co. Ltd.</t>
  </si>
  <si>
    <t xml:space="preserve">02216</t>
  </si>
  <si>
    <t xml:space="preserve">Broncus Holding Corporation - B</t>
  </si>
  <si>
    <t xml:space="preserve">09889</t>
  </si>
  <si>
    <t xml:space="preserve">Dongguan Rural Commercial Bank Co., Ltd. - H Shares</t>
  </si>
  <si>
    <t xml:space="preserve">06628</t>
  </si>
  <si>
    <t xml:space="preserve">Transcenta Holding Ltd. - B</t>
  </si>
  <si>
    <t xml:space="preserve">02217</t>
  </si>
  <si>
    <t xml:space="preserve">Tam Jai International Co. Ltd.</t>
  </si>
  <si>
    <t xml:space="preserve">02256</t>
  </si>
  <si>
    <t xml:space="preserve">Abbisko Cayman Ltd. - B</t>
  </si>
  <si>
    <t xml:space="preserve">02235</t>
  </si>
  <si>
    <t xml:space="preserve">MicroTech Medical (Hangzhou) Co., Ltd. - B - H Shares</t>
  </si>
  <si>
    <t xml:space="preserve">2252</t>
  </si>
  <si>
    <t xml:space="preserve">Shanghai MicroPort MedBot (Group) Co., Ltd. - B - H Shares</t>
  </si>
  <si>
    <t xml:space="preserve">2197</t>
  </si>
  <si>
    <t xml:space="preserve">Clover Biopharmaceuticals, Ltd. - B</t>
  </si>
  <si>
    <t xml:space="preserve">2251</t>
  </si>
  <si>
    <t xml:space="preserve">Beijing Airdoc Technology Co., Ltd. - B - H Shares</t>
  </si>
  <si>
    <t xml:space="preserve">1948</t>
  </si>
  <si>
    <t xml:space="preserve">UJU Holding Ltd.</t>
  </si>
  <si>
    <t xml:space="preserve">2210</t>
  </si>
  <si>
    <t xml:space="preserve">Beijing Capital Jiaye Property Services Co., Ltd. - H Shares</t>
  </si>
  <si>
    <t xml:space="preserve">9956</t>
  </si>
  <si>
    <t xml:space="preserve">ANE (Cayman) Inc.</t>
  </si>
  <si>
    <t xml:space="preserve">2265</t>
  </si>
  <si>
    <t xml:space="preserve">Hongcheng Environmental Technology Co. Ltd.</t>
  </si>
  <si>
    <t xml:space="preserve">9899</t>
  </si>
  <si>
    <t xml:space="preserve">Cloud Village Inc.</t>
  </si>
  <si>
    <t xml:space="preserve">9898</t>
  </si>
  <si>
    <t xml:space="preserve">Weibo Corporation - SW</t>
  </si>
  <si>
    <t xml:space="preserve">6821</t>
  </si>
  <si>
    <t xml:space="preserve">Asymchem Laboratories (Tianjin) Co., Ltd. - H Shares</t>
  </si>
  <si>
    <t xml:space="preserve">1228</t>
  </si>
  <si>
    <t xml:space="preserve">CANbridge Pharmaceuticals Inc. - B</t>
  </si>
  <si>
    <t xml:space="preserve">2273</t>
  </si>
  <si>
    <t xml:space="preserve">GUSHENGTANG HOLDINGS LIMITED</t>
  </si>
  <si>
    <t xml:space="preserve">2279</t>
  </si>
  <si>
    <t xml:space="preserve">Yonghe Medical Group Co., Ltd.</t>
  </si>
  <si>
    <t xml:space="preserve">9699</t>
  </si>
  <si>
    <t xml:space="preserve">Hangzhou SF Intra-city Industrial Co., Ltd. - H Shares</t>
  </si>
  <si>
    <t xml:space="preserve">2276</t>
  </si>
  <si>
    <t xml:space="preserve">Shanghai Conant Optical Co., Ltd. - H Shares</t>
  </si>
  <si>
    <t xml:space="preserve">6633</t>
  </si>
  <si>
    <t xml:space="preserve">Qingci Games Inc.</t>
  </si>
  <si>
    <t xml:space="preserve">2270</t>
  </si>
  <si>
    <t xml:space="preserve">Desun Real Estate Investment Services Group Co., Ltd.</t>
  </si>
  <si>
    <t xml:space="preserve">2185</t>
  </si>
  <si>
    <t xml:space="preserve">Shanghai Bio-heart Biological Technology Co., Ltd. - B - H Shares</t>
  </si>
  <si>
    <t xml:space="preserve">2285</t>
  </si>
  <si>
    <t xml:space="preserve">Chervon Holdings Ltd.</t>
  </si>
  <si>
    <t xml:space="preserve">20</t>
  </si>
  <si>
    <t xml:space="preserve">SenseTime Group Inc. - W</t>
  </si>
  <si>
    <t xml:space="preserve">2257</t>
  </si>
  <si>
    <t xml:space="preserve">Sirnaomics Ltd. - B</t>
  </si>
  <si>
    <t xml:space="preserve">2295</t>
  </si>
  <si>
    <t xml:space="preserve">Maxicity Holdings Ltd.</t>
  </si>
  <si>
    <t xml:space="preserve">02260</t>
  </si>
  <si>
    <t xml:space="preserve">Vanov Holdings Company Limited</t>
  </si>
  <si>
    <t xml:space="preserve">https://www2.hkexnews.hk/-/media/HKEXnews/Homepage/New-Listings/New-Listing-Information/New-Listing-Report/Main/NLR2022_Eng.xlsx</t>
  </si>
  <si>
    <t xml:space="preserve">06680</t>
  </si>
  <si>
    <t xml:space="preserve">JL MAG RARE-EARTH CO., LTD. - H Shares</t>
  </si>
  <si>
    <t xml:space="preserve">02250</t>
  </si>
  <si>
    <t xml:space="preserve">Semk Holdings International Ltd.</t>
  </si>
  <si>
    <t xml:space="preserve">02121</t>
  </si>
  <si>
    <t xml:space="preserve">Qingdao AInnovation Technology Group Co., Ltd - H Shares</t>
  </si>
  <si>
    <t xml:space="preserve">01406</t>
  </si>
  <si>
    <t xml:space="preserve">Clarity Medical Group Holding Ltd.</t>
  </si>
  <si>
    <t xml:space="preserve">09878</t>
  </si>
  <si>
    <t xml:space="preserve">Huitongda Network Co., Ltd. - H Shares</t>
  </si>
  <si>
    <t xml:space="preserve">02157</t>
  </si>
  <si>
    <t xml:space="preserve">Lepu Biopharma Co., Ltd. - B - H Shares</t>
  </si>
  <si>
    <t xml:space="preserve">06663</t>
  </si>
  <si>
    <t xml:space="preserve">IWS Group Holdings Ltd.</t>
  </si>
  <si>
    <t xml:space="preserve">00816</t>
  </si>
  <si>
    <t xml:space="preserve">Jinmao Property Services Co., Ltd.</t>
  </si>
  <si>
    <t xml:space="preserve">09866</t>
  </si>
  <si>
    <t xml:space="preserve">NIO Inc. - SW</t>
  </si>
  <si>
    <t xml:space="preserve">07836</t>
  </si>
  <si>
    <t xml:space="preserve">Aquila Acquisition Corporation - Z</t>
  </si>
  <si>
    <t xml:space="preserve">06639</t>
  </si>
  <si>
    <t xml:space="preserve">Arrail Group Ltd.</t>
  </si>
  <si>
    <t xml:space="preserve">06655</t>
  </si>
  <si>
    <t xml:space="preserve">Huaxin Cement Co., Ltd. - H Shares</t>
  </si>
  <si>
    <t xml:space="preserve">00587</t>
  </si>
  <si>
    <t xml:space="preserve">China Conch Environment Protection Holdings Limited</t>
  </si>
  <si>
    <t xml:space="preserve">09638</t>
  </si>
  <si>
    <t xml:space="preserve">Ferretti S.p.A.</t>
  </si>
  <si>
    <t xml:space="preserve">02179</t>
  </si>
  <si>
    <t xml:space="preserve">Jiangsu Recbio Technology Co., Ltd. - B - H Shares</t>
  </si>
  <si>
    <t xml:space="preserve">02370</t>
  </si>
  <si>
    <t xml:space="preserve">Redco Healthy Living Company Limited</t>
  </si>
  <si>
    <t xml:space="preserve">Life and health: Healthy Living is property management.</t>
  </si>
  <si>
    <t xml:space="preserve">02390</t>
  </si>
  <si>
    <t xml:space="preserve">Zhihu Inc. - W</t>
  </si>
  <si>
    <t xml:space="preserve">02352</t>
  </si>
  <si>
    <t xml:space="preserve">DOWELL SERVICE GROUP CO. LIMITED</t>
  </si>
  <si>
    <t xml:space="preserve">02423</t>
  </si>
  <si>
    <t xml:space="preserve">KE Holdings Inc. - W</t>
  </si>
  <si>
    <t xml:space="preserve">02325</t>
  </si>
  <si>
    <t xml:space="preserve">Yunkang Group Limited</t>
  </si>
  <si>
    <t xml:space="preserve">02347</t>
  </si>
  <si>
    <t xml:space="preserve">Yoho Group Holdings Limited</t>
  </si>
  <si>
    <t xml:space="preserve">07827</t>
  </si>
  <si>
    <t xml:space="preserve">Vision Deal HK Acquisition Corp. - Z</t>
  </si>
  <si>
    <t xml:space="preserve">06667</t>
  </si>
  <si>
    <t xml:space="preserve">Mega Genomics Ltd.</t>
  </si>
  <si>
    <t xml:space="preserve">02246</t>
  </si>
  <si>
    <t xml:space="preserve">GOGOX HOLDINGS LIMITED</t>
  </si>
  <si>
    <t xml:space="preserve">02372</t>
  </si>
  <si>
    <t xml:space="preserve">WEIli Holdings Limited</t>
  </si>
  <si>
    <t xml:space="preserve">02167</t>
  </si>
  <si>
    <t xml:space="preserve">TI Cloud Inc.</t>
  </si>
  <si>
    <t xml:space="preserve">06638</t>
  </si>
  <si>
    <t xml:space="preserve">OneConnect Financial Technology Co., Ltd.</t>
  </si>
  <si>
    <t xml:space="preserve">02391</t>
  </si>
  <si>
    <t xml:space="preserve">Tuya Inc. - W</t>
  </si>
  <si>
    <t xml:space="preserve">09955</t>
  </si>
  <si>
    <t xml:space="preserve">ClouDr Group Limited</t>
  </si>
  <si>
    <t xml:space="preserve">02297</t>
  </si>
  <si>
    <t xml:space="preserve">Rainmed Medical Limited - B</t>
  </si>
  <si>
    <t xml:space="preserve">02376</t>
  </si>
  <si>
    <t xml:space="preserve">Lushang Life Services Co., Ltd. - H Shares</t>
  </si>
  <si>
    <t xml:space="preserve">02392</t>
  </si>
  <si>
    <t xml:space="preserve">Xuan Wu Cloud Technology Holdings Limited</t>
  </si>
  <si>
    <t xml:space="preserve">02361</t>
  </si>
  <si>
    <t xml:space="preserve">Sinohealth Holdings Limited</t>
  </si>
  <si>
    <t xml:space="preserve">02385</t>
  </si>
  <si>
    <t xml:space="preserve">Readboy Education Holding Company Limited</t>
  </si>
  <si>
    <t xml:space="preserve">06661</t>
  </si>
  <si>
    <t xml:space="preserve">Huzhou Gas Co., Ltd. - H shares</t>
  </si>
  <si>
    <t xml:space="preserve">09896</t>
  </si>
  <si>
    <t xml:space="preserve">MINISO Group Holding Limited</t>
  </si>
  <si>
    <t xml:space="preserve">06686</t>
  </si>
  <si>
    <t xml:space="preserve">Noah Holdings Private Wealth and Asset Management Limited - S</t>
  </si>
  <si>
    <t xml:space="preserve">09696</t>
  </si>
  <si>
    <t xml:space="preserve">Tianqi Lithium Corporation - H shares</t>
  </si>
  <si>
    <t xml:space="preserve">01204</t>
  </si>
  <si>
    <t xml:space="preserve">BoardWare Intelligence Technology Ltd.</t>
  </si>
  <si>
    <t xml:space="preserve">02418</t>
  </si>
  <si>
    <t xml:space="preserve">Deewin Tianxia Co., Ltd. - H shares</t>
  </si>
  <si>
    <t xml:space="preserve">02172</t>
  </si>
  <si>
    <t xml:space="preserve">MicroPort NeuroTech Limited</t>
  </si>
  <si>
    <t xml:space="preserve">02237</t>
  </si>
  <si>
    <t xml:space="preserve">China Graphite Group Limited</t>
  </si>
  <si>
    <t xml:space="preserve">09857</t>
  </si>
  <si>
    <t xml:space="preserve">Linmon Media Limited</t>
  </si>
  <si>
    <t xml:space="preserve">07841</t>
  </si>
  <si>
    <t xml:space="preserve">HK Acquisition Corporation - Z</t>
  </si>
  <si>
    <t xml:space="preserve">02321</t>
  </si>
  <si>
    <t xml:space="preserve">Swang Chai Chuan Ltd.</t>
  </si>
  <si>
    <t xml:space="preserve">02152</t>
  </si>
  <si>
    <t xml:space="preserve">Suxin Joyful Life Services Co., Ltd. - H Shares</t>
  </si>
  <si>
    <t xml:space="preserve">01880</t>
  </si>
  <si>
    <t xml:space="preserve">China Tourism Group Duty Free Corporation Ltd. - H Shares</t>
  </si>
  <si>
    <t xml:space="preserve">02315</t>
  </si>
  <si>
    <t xml:space="preserve">Biocytogen Pharmaceuticals (Beijing) Co., Ltd.- B - H Shares</t>
  </si>
  <si>
    <t xml:space="preserve">06689</t>
  </si>
  <si>
    <t xml:space="preserve">Chongqing Hongjiu Fruit Co., Ltd. - H Shares</t>
  </si>
  <si>
    <t xml:space="preserve">09886</t>
  </si>
  <si>
    <t xml:space="preserve">Dingdang Health Technology Group Ltd.</t>
  </si>
  <si>
    <t xml:space="preserve">07801</t>
  </si>
  <si>
    <t xml:space="preserve">Interra Acquisition Corporation - Z</t>
  </si>
  <si>
    <t xml:space="preserve">01698</t>
  </si>
  <si>
    <t xml:space="preserve">Tencent Music Entertainment Group - SW</t>
  </si>
  <si>
    <t xml:space="preserve">02350</t>
  </si>
  <si>
    <t xml:space="preserve">MTT Group Holdings Ltd.</t>
  </si>
  <si>
    <t xml:space="preserve">02602</t>
  </si>
  <si>
    <t xml:space="preserve">Onewo Inc. - H Shares</t>
  </si>
  <si>
    <t xml:space="preserve">09863</t>
  </si>
  <si>
    <t xml:space="preserve">Zhejiang Leapmotor Technology Co., Ltd. - H Shares</t>
  </si>
  <si>
    <t xml:space="preserve">06660</t>
  </si>
  <si>
    <t xml:space="preserve">AIM Vaccine Co., Ltd. - H Shares</t>
  </si>
  <si>
    <t xml:space="preserve">03931</t>
  </si>
  <si>
    <t xml:space="preserve">CALB Co., Ltd. - H Shares</t>
  </si>
  <si>
    <t xml:space="preserve">01489</t>
  </si>
  <si>
    <t xml:space="preserve">GC Construction Holdings Limited</t>
  </si>
  <si>
    <t xml:space="preserve">09877</t>
  </si>
  <si>
    <t xml:space="preserve">Jenscare Scientific Co., Ltd. - B - H Shares</t>
  </si>
  <si>
    <t xml:space="preserve">02422</t>
  </si>
  <si>
    <t xml:space="preserve">Rego Interactive Co., Ltd</t>
  </si>
  <si>
    <t xml:space="preserve">06610</t>
  </si>
  <si>
    <t xml:space="preserve">Flowing Cloud Technology Ltd</t>
  </si>
  <si>
    <t xml:space="preserve">02367</t>
  </si>
  <si>
    <t xml:space="preserve">Giant Biogene Holding Co., Ltd</t>
  </si>
  <si>
    <t xml:space="preserve">02291</t>
  </si>
  <si>
    <t xml:space="preserve">LEPU ScienTech Medical Technology (Shanghai) Co., Ltd. - H Shares</t>
  </si>
  <si>
    <t xml:space="preserve">06696</t>
  </si>
  <si>
    <t xml:space="preserve">Many Idea Cloud Holdings Limited</t>
  </si>
  <si>
    <t xml:space="preserve">02420</t>
  </si>
  <si>
    <t xml:space="preserve">Zibuyu Group Limited</t>
  </si>
  <si>
    <t xml:space="preserve">01407</t>
  </si>
  <si>
    <t xml:space="preserve">JY GAS LIMITED</t>
  </si>
  <si>
    <t xml:space="preserve">02436</t>
  </si>
  <si>
    <t xml:space="preserve">LX Technology Group Limited</t>
  </si>
  <si>
    <t xml:space="preserve">03660</t>
  </si>
  <si>
    <t xml:space="preserve">360 DigiTech, Inc. - S</t>
  </si>
  <si>
    <t xml:space="preserve">02245</t>
  </si>
  <si>
    <t xml:space="preserve">Lygend Resources &amp; Technology Co., Ltd. - H Shares</t>
  </si>
  <si>
    <t xml:space="preserve">06963</t>
  </si>
  <si>
    <t xml:space="preserve">Sunshine Insurance Group Company Limited - H Shares</t>
  </si>
  <si>
    <t xml:space="preserve">02407</t>
  </si>
  <si>
    <t xml:space="preserve">Gaush Meditech Ltd</t>
  </si>
  <si>
    <t xml:space="preserve">03611</t>
  </si>
  <si>
    <t xml:space="preserve">Huafang Group Inc.</t>
  </si>
  <si>
    <t xml:space="preserve">02440</t>
  </si>
  <si>
    <t xml:space="preserve">Howkingtech International Holding Limited</t>
  </si>
  <si>
    <t xml:space="preserve">01947</t>
  </si>
  <si>
    <t xml:space="preserve">Meihao Medical Group Co., Ltd</t>
  </si>
  <si>
    <t xml:space="preserve">01244</t>
  </si>
  <si>
    <t xml:space="preserve">3D Medicines Inc - B</t>
  </si>
  <si>
    <t xml:space="preserve">02457</t>
  </si>
  <si>
    <t xml:space="preserve">Buyang International Holding Inc</t>
  </si>
  <si>
    <t xml:space="preserve">09985</t>
  </si>
  <si>
    <t xml:space="preserve">WEILONG Delicious Global Holdings Ltd</t>
  </si>
  <si>
    <t xml:space="preserve">02076</t>
  </si>
  <si>
    <t xml:space="preserve">KANZHUN LIMITED - W</t>
  </si>
  <si>
    <t xml:space="preserve">02145</t>
  </si>
  <si>
    <t xml:space="preserve">Shanghai Chicmax Cosmetic Co., Ltd. - H Shares</t>
  </si>
  <si>
    <t xml:space="preserve">00314</t>
  </si>
  <si>
    <t xml:space="preserve">Sipai Health Technology Co., Ltd.</t>
  </si>
  <si>
    <t xml:space="preserve">07855</t>
  </si>
  <si>
    <t xml:space="preserve">TechStar Acquisition Corporation - Z</t>
  </si>
  <si>
    <t xml:space="preserve">06929</t>
  </si>
  <si>
    <t xml:space="preserve">OrbusNeich Medical Group Holdings Ltd.</t>
  </si>
  <si>
    <t xml:space="preserve">02427</t>
  </si>
  <si>
    <t xml:space="preserve">Guanze Medical Information Industry (Holding) Co., Ltd.</t>
  </si>
  <si>
    <t xml:space="preserve">06698</t>
  </si>
  <si>
    <t xml:space="preserve">STAR CM Holdings Limited</t>
  </si>
  <si>
    <t xml:space="preserve">02425</t>
  </si>
  <si>
    <t xml:space="preserve">AustAsia Group Ltd.</t>
  </si>
  <si>
    <t xml:space="preserve">06922</t>
  </si>
  <si>
    <t xml:space="preserve">Cryofocus Medtech (Shanghai) Co., Ltd. - B - H Shares</t>
  </si>
  <si>
    <t xml:space="preserve">03896</t>
  </si>
  <si>
    <t xml:space="preserve">Kingsoft Cloud Holdings Ltd.</t>
  </si>
  <si>
    <t xml:space="preserve">09658</t>
  </si>
  <si>
    <t xml:space="preserve">SUPER HI INTERNATIONAL HOLDING LTD.</t>
  </si>
  <si>
    <t xml:space="preserve">06955</t>
  </si>
  <si>
    <t xml:space="preserve">Shandong Boan Biotechnology Co., Ltd. - B - H Shares</t>
  </si>
  <si>
    <t xml:space="preserve">02469</t>
  </si>
  <si>
    <t xml:space="preserve">Fenbi Ltd.</t>
  </si>
  <si>
    <t xml:space="preserve">https://www2.hkexnews.hk/-/media/HKEXnews/Homepage/New-Listings/New-Listing-Information/New-Listing-Report/Main/NLR2023_Eng.xlsx</t>
  </si>
  <si>
    <t xml:space="preserve">02402</t>
  </si>
  <si>
    <t xml:space="preserve">Beijing SinoHytec Co., Ltd. - H Shares</t>
  </si>
  <si>
    <t xml:space="preserve">02147</t>
  </si>
  <si>
    <t xml:space="preserve">Zhengwei Group Holdings Company Limited</t>
  </si>
  <si>
    <t xml:space="preserve">02458</t>
  </si>
  <si>
    <t xml:space="preserve">Gala Technology Holding Limited</t>
  </si>
  <si>
    <t xml:space="preserve">02411</t>
  </si>
  <si>
    <t xml:space="preserve">Shenzhen Pagoda Industrial (Group) Corporation Limited - H Shares</t>
  </si>
  <si>
    <t xml:space="preserve">02373</t>
  </si>
  <si>
    <t xml:space="preserve">Beauty Farm Medical and Health Industry Inc.</t>
  </si>
  <si>
    <t xml:space="preserve">02459</t>
  </si>
  <si>
    <t xml:space="preserve">SANERGY GROUP LIMITED</t>
  </si>
  <si>
    <t xml:space="preserve">02455</t>
  </si>
  <si>
    <t xml:space="preserve">Runhua Living Service Group Holdings Limited</t>
  </si>
  <si>
    <t xml:space="preserve">02306</t>
  </si>
  <si>
    <t xml:space="preserve">YH Entertainment Group</t>
  </si>
  <si>
    <t xml:space="preserve">02450</t>
  </si>
  <si>
    <t xml:space="preserve">Huaibei GreenGold Industry Investment Co., Ltd. - H Shares</t>
  </si>
  <si>
    <t xml:space="preserve">02482</t>
  </si>
  <si>
    <t xml:space="preserve">Logory Logistics Technology Co., Ltd. - H Shares</t>
  </si>
  <si>
    <t xml:space="preserve">09636</t>
  </si>
  <si>
    <t xml:space="preserve">JF Wealth Holdings Ltd</t>
  </si>
  <si>
    <t xml:space="preserve">02421</t>
  </si>
  <si>
    <t xml:space="preserve">KRP Development Holdings Limited</t>
  </si>
  <si>
    <t xml:space="preserve">01405</t>
  </si>
  <si>
    <t xml:space="preserve">DPC Dash Ltd</t>
  </si>
  <si>
    <t xml:space="preserve">02409</t>
  </si>
  <si>
    <t xml:space="preserve">Seacon Shipping Group Holdings Limited</t>
  </si>
  <si>
    <t xml:space="preserve">02433</t>
  </si>
  <si>
    <t xml:space="preserve">Zhongtian Construction (Hunan) Group Limited</t>
  </si>
  <si>
    <t xml:space="preserve">02439</t>
  </si>
  <si>
    <t xml:space="preserve">China Treasures New Materials Group Ltd.</t>
  </si>
  <si>
    <t xml:space="preserve">02405</t>
  </si>
  <si>
    <t xml:space="preserve">Powerwin Tech Group Limited</t>
  </si>
  <si>
    <t xml:space="preserve">09669</t>
  </si>
  <si>
    <t xml:space="preserve">Beisen Holding Limited</t>
  </si>
  <si>
    <t xml:space="preserve">06623</t>
  </si>
  <si>
    <t xml:space="preserve">Lufax Holding Ltd</t>
  </si>
  <si>
    <t xml:space="preserve">02415</t>
  </si>
  <si>
    <t xml:space="preserve">MedSci Healthcare Holdings Limited</t>
  </si>
  <si>
    <t xml:space="preserve">06979</t>
  </si>
  <si>
    <t xml:space="preserve">ZJLD Group Inc</t>
  </si>
  <si>
    <t xml:space="preserve">02480</t>
  </si>
  <si>
    <t xml:space="preserve">Beijing Luzhu Biotechnology Co., Ltd. - B - H Shares</t>
  </si>
  <si>
    <t xml:space="preserve">02442</t>
  </si>
  <si>
    <t xml:space="preserve">Easy Smart Group Holdings Limited</t>
  </si>
  <si>
    <t xml:space="preserve">02486</t>
  </si>
  <si>
    <t xml:space="preserve">Plus Group Holdings Inc.</t>
  </si>
  <si>
    <t xml:space="preserve">09689</t>
  </si>
  <si>
    <t xml:space="preserve">JTF International Holdings Limited</t>
  </si>
  <si>
    <t xml:space="preserve">02416</t>
  </si>
  <si>
    <t xml:space="preserve">Edianyun Limited</t>
  </si>
  <si>
    <t xml:space="preserve">09930</t>
  </si>
  <si>
    <t xml:space="preserve">Horizon Construction Development Limited</t>
  </si>
  <si>
    <t xml:space="preserve">02487</t>
  </si>
  <si>
    <t xml:space="preserve">Cutia Therapeutics - B</t>
  </si>
  <si>
    <t xml:space="preserve">00933</t>
  </si>
  <si>
    <t xml:space="preserve">VIVA Goods Company Limited</t>
  </si>
  <si>
    <t xml:space="preserve">09885</t>
  </si>
  <si>
    <t xml:space="preserve">YSB Inc.</t>
  </si>
  <si>
    <t xml:space="preserve">02105</t>
  </si>
  <si>
    <t xml:space="preserve">Laekna, Inc. - B</t>
  </si>
  <si>
    <t xml:space="preserve">09860</t>
  </si>
  <si>
    <t xml:space="preserve">ADICON Holdings Limited</t>
  </si>
  <si>
    <t xml:space="preserve">02481</t>
  </si>
  <si>
    <t xml:space="preserve">Wise Living Technology Co., Ltd - H shares</t>
  </si>
  <si>
    <t xml:space="preserve">06990</t>
  </si>
  <si>
    <t xml:space="preserve">Sichuan Kelun-Biotech Biopharmaceutical Co., Ltd. - B - H Shares</t>
  </si>
  <si>
    <t xml:space="preserve">03650</t>
  </si>
  <si>
    <t xml:space="preserve">Keep Inc.</t>
  </si>
  <si>
    <t xml:space="preserve">06683</t>
  </si>
  <si>
    <t xml:space="preserve">Star Plus Legend Holdings Limited</t>
  </si>
  <si>
    <t xml:space="preserve">01284</t>
  </si>
  <si>
    <t xml:space="preserve">New Media Lab Limited</t>
  </si>
  <si>
    <t xml:space="preserve">02271</t>
  </si>
  <si>
    <t xml:space="preserve">Zhong An Intelligent Living Service Limited</t>
  </si>
  <si>
    <t xml:space="preserve">01541</t>
  </si>
  <si>
    <t xml:space="preserve">ImmuneOnco Biopharmaceuticals (Shanghai) Inc. - B - H Shares</t>
  </si>
  <si>
    <t xml:space="preserve">02490</t>
  </si>
  <si>
    <t xml:space="preserve">LC Logistics, Inc.</t>
  </si>
  <si>
    <t xml:space="preserve">02496</t>
  </si>
  <si>
    <t xml:space="preserve">Wuhan YZY Biopharma Co., Ltd. - B - H Shares</t>
  </si>
  <si>
    <t xml:space="preserve">09690</t>
  </si>
  <si>
    <t xml:space="preserve">TUHU Car Inc. - W</t>
  </si>
  <si>
    <t xml:space="preserve">06682</t>
  </si>
  <si>
    <t xml:space="preserve">Beijing Fourth Paradigm Technology Co., Ltd. - H Shares</t>
  </si>
  <si>
    <t xml:space="preserve">09686</t>
  </si>
  <si>
    <t xml:space="preserve">Neusoft Xikang Holdings Inc.</t>
  </si>
  <si>
    <t xml:space="preserve">09890</t>
  </si>
  <si>
    <t xml:space="preserve">ZX Inc.</t>
  </si>
  <si>
    <t xml:space="preserve">09882</t>
  </si>
  <si>
    <t xml:space="preserve">Best Linking Group Holdings Limited</t>
  </si>
  <si>
    <t xml:space="preserve">01973</t>
  </si>
  <si>
    <t xml:space="preserve">Tian Tu Capital Co., Ltd. - H Shares</t>
  </si>
  <si>
    <t xml:space="preserve">02501</t>
  </si>
  <si>
    <t xml:space="preserve">Maiyue Technology Limited</t>
  </si>
  <si>
    <t xml:space="preserve">02451</t>
  </si>
  <si>
    <t xml:space="preserve">Luyuan Group Holding (Cayman) Limited</t>
  </si>
  <si>
    <t xml:space="preserve">09676</t>
  </si>
  <si>
    <t xml:space="preserve">Shiyue Daotian Group Co., Ltd. - H Shares</t>
  </si>
  <si>
    <t xml:space="preserve">01519</t>
  </si>
  <si>
    <t xml:space="preserve">J&amp;T Global Express Limited - W</t>
  </si>
  <si>
    <t xml:space="preserve">02517</t>
  </si>
  <si>
    <t xml:space="preserve">Guoquan Food (Shanghai) Co., Ltd. - H Shares</t>
  </si>
  <si>
    <t xml:space="preserve">02429</t>
  </si>
  <si>
    <t xml:space="preserve">Beijing UBOX Online Technology Corp. - H Shares</t>
  </si>
  <si>
    <t xml:space="preserve">02473</t>
  </si>
  <si>
    <t xml:space="preserve">XXF Group Holdings Limited</t>
  </si>
  <si>
    <t xml:space="preserve">02499</t>
  </si>
  <si>
    <t xml:space="preserve">FOLANGSI CO., LTD - H Shares</t>
  </si>
  <si>
    <t xml:space="preserve">01111</t>
  </si>
  <si>
    <t xml:space="preserve">Huashi Group Holdings Limited</t>
  </si>
  <si>
    <t xml:space="preserve">02268</t>
  </si>
  <si>
    <t xml:space="preserve">WuXi XDC Cayman Inc.</t>
  </si>
  <si>
    <t xml:space="preserve">02520</t>
  </si>
  <si>
    <t xml:space="preserve">Shanxi Installation Group Co., Ltd. - H Shares</t>
  </si>
  <si>
    <t xml:space="preserve">02483</t>
  </si>
  <si>
    <t xml:space="preserve">K Cash Corporation Limited</t>
  </si>
  <si>
    <t xml:space="preserve">02521</t>
  </si>
  <si>
    <t xml:space="preserve">Shenghui Cleanness Group Holdings Limited</t>
  </si>
  <si>
    <t xml:space="preserve">09663</t>
  </si>
  <si>
    <t xml:space="preserve">Sino-Synergy Hydrogen Energy Technology (Jiaxing) Co., Ltd. - H Shares</t>
  </si>
  <si>
    <t xml:space="preserve">02419</t>
  </si>
  <si>
    <t xml:space="preserve">DEKON FOOD AND AGRICULTURE GROUP - H Shares</t>
  </si>
  <si>
    <t xml:space="preserve">01497</t>
  </si>
  <si>
    <t xml:space="preserve">XIAMEN YAN PALACE BIRD’S NEST INDUSTRY CO., LTD. - H Shares</t>
  </si>
  <si>
    <t xml:space="preserve">00666</t>
  </si>
  <si>
    <t xml:space="preserve">REPT BATTERO Energy Co., Ltd. - H Shares</t>
  </si>
  <si>
    <t xml:space="preserve">02502</t>
  </si>
  <si>
    <t xml:space="preserve">Henan Jinyuan Hydrogenated Chemicals Co., Ltd. - H Shares</t>
  </si>
  <si>
    <t xml:space="preserve">01274</t>
  </si>
  <si>
    <t xml:space="preserve">iMotion Automotive Technology (Suzhou) Co., Ltd. - H shares</t>
  </si>
  <si>
    <t xml:space="preserve">02516</t>
  </si>
  <si>
    <t xml:space="preserve">FAR International Holdings Group Company Limited</t>
  </si>
  <si>
    <t xml:space="preserve">02511</t>
  </si>
  <si>
    <t xml:space="preserve">HighTide Therapeutics, Inc. -B</t>
  </si>
  <si>
    <t xml:space="preserve">02489</t>
  </si>
  <si>
    <t xml:space="preserve">PERSISTENCE RESOURCES GROUP LTD</t>
  </si>
  <si>
    <t xml:space="preserve">06911</t>
  </si>
  <si>
    <t xml:space="preserve">PU’ER LANCANG ANCIENT TEA CO., LTD. - H shares</t>
  </si>
  <si>
    <t xml:space="preserve">02149</t>
  </si>
  <si>
    <t xml:space="preserve">BaTeLab Co., Ltd. - H shares</t>
  </si>
  <si>
    <t xml:space="preserve">09880</t>
  </si>
  <si>
    <t xml:space="preserve">UBTECH ROBOTICS CORP LTD - H shares</t>
  </si>
  <si>
    <t xml:space="preserve">02498</t>
  </si>
  <si>
    <t xml:space="preserve">ROBOSENSE TECHNOLOGY CO., LTD</t>
  </si>
  <si>
    <t xml:space="preserve">https://www2.hkexnews.hk/-/media/HKEXnews/Homepage/New-Listings/New-Listing-Information/New-Listing-Report/Main/NLR2024_Eng.xlsx</t>
  </si>
  <si>
    <t xml:space="preserve">06959</t>
  </si>
  <si>
    <t xml:space="preserve">Changjiu Holdings Limited</t>
  </si>
  <si>
    <t xml:space="preserve">02453</t>
  </si>
  <si>
    <t xml:space="preserve">Concord Healthcare Group Co., Ltd.- H shares</t>
  </si>
  <si>
    <t xml:space="preserve">02503</t>
  </si>
  <si>
    <t xml:space="preserve">Zhongshen Jianye Holding Limited</t>
  </si>
  <si>
    <t xml:space="preserve">02477</t>
  </si>
  <si>
    <t xml:space="preserve">WellCell Holdings Co., Limited</t>
  </si>
  <si>
    <t xml:space="preserve">02540</t>
  </si>
  <si>
    <t xml:space="preserve">Lesi Group Limited</t>
  </si>
  <si>
    <t xml:space="preserve">02535</t>
  </si>
  <si>
    <t xml:space="preserve">WK Group (Holdings) Limited</t>
  </si>
  <si>
    <t xml:space="preserve">02509</t>
  </si>
  <si>
    <t xml:space="preserve">Qyuns Therapeutics Co., Ltd. - B - H Shares</t>
  </si>
  <si>
    <t xml:space="preserve">09879</t>
  </si>
  <si>
    <t xml:space="preserve">MIGAO GROUP HOLDINGS LIMITED</t>
  </si>
  <si>
    <t xml:space="preserve">02536</t>
  </si>
  <si>
    <t xml:space="preserve">Palasino Holdings Limited</t>
  </si>
  <si>
    <t xml:space="preserve">02497</t>
  </si>
  <si>
    <t xml:space="preserve">Fujing Holdings Co., Limited</t>
  </si>
  <si>
    <t xml:space="preserve">02598</t>
  </si>
  <si>
    <t xml:space="preserve">Lianlian DigiTech Co., Ltd.- H shares</t>
  </si>
  <si>
    <t xml:space="preserve">02555</t>
  </si>
  <si>
    <t xml:space="preserve">Sichuan Baicha Baidao Industrial Co., Ltd. - H shares</t>
  </si>
  <si>
    <t xml:space="preserve">02515</t>
  </si>
  <si>
    <t xml:space="preserve">Tianjin Construction Development Group Co., Ltd. - H shares</t>
  </si>
  <si>
    <t xml:space="preserve">02438</t>
  </si>
  <si>
    <t xml:space="preserve">Mobvoi Inc.</t>
  </si>
  <si>
    <t xml:space="preserve">02556</t>
  </si>
  <si>
    <t xml:space="preserve">Marketingforce Management Ltd</t>
  </si>
  <si>
    <t xml:space="preserve">02529</t>
  </si>
  <si>
    <t xml:space="preserve">Hollwin Urban Operation Service Group Co., Ltd - H shares</t>
  </si>
  <si>
    <t xml:space="preserve">02898</t>
  </si>
  <si>
    <t xml:space="preserve">Sunho Biologics, Inc. - B</t>
  </si>
  <si>
    <t xml:space="preserve">00917</t>
  </si>
  <si>
    <t xml:space="preserve">Qunabox Group Limited</t>
  </si>
  <si>
    <t xml:space="preserve">02505</t>
  </si>
  <si>
    <t xml:space="preserve">EDA GROUP HOLDINGS LIMITED</t>
  </si>
  <si>
    <t xml:space="preserve">02443</t>
  </si>
  <si>
    <t xml:space="preserve">Autostreets Development Limited</t>
  </si>
  <si>
    <t xml:space="preserve">02550</t>
  </si>
  <si>
    <t xml:space="preserve">Easou Technology Holdings Limited</t>
  </si>
  <si>
    <t xml:space="preserve">02522</t>
  </si>
  <si>
    <t xml:space="preserve">Jiangxi Rimag Group Co., Ltd. - H shares</t>
  </si>
  <si>
    <t xml:space="preserve">02228</t>
  </si>
  <si>
    <t xml:space="preserve">QuantumPharm Inc. - P</t>
  </si>
  <si>
    <t xml:space="preserve">02512</t>
  </si>
  <si>
    <t xml:space="preserve">Cloud Factory Technology Holdings Limited</t>
  </si>
  <si>
    <t xml:space="preserve">02881</t>
  </si>
  <si>
    <t xml:space="preserve">Wuhan Youji Holdings Ltd.</t>
  </si>
  <si>
    <t xml:space="preserve">02559</t>
  </si>
  <si>
    <t xml:space="preserve">Dida Inc.</t>
  </si>
  <si>
    <t xml:space="preserve">06181</t>
  </si>
  <si>
    <t xml:space="preserve">Laopu Gold Co., Ltd. - H shares</t>
  </si>
  <si>
    <t xml:space="preserve">02479</t>
  </si>
  <si>
    <t xml:space="preserve">Tianju Dihe (Suzhou) Technology Co., Ltd. - H shares</t>
  </si>
  <si>
    <t xml:space="preserve">01354</t>
  </si>
  <si>
    <t xml:space="preserve">Xi’an Kingfar Property Services Co., Ltd. - H shares</t>
  </si>
  <si>
    <t xml:space="preserve">02545</t>
  </si>
  <si>
    <t xml:space="preserve">Zhonggan Communication (Group) Holdings Limited</t>
  </si>
  <si>
    <t xml:space="preserve">06657</t>
  </si>
  <si>
    <t xml:space="preserve">BAIWANG CO., LTD. - H shares</t>
  </si>
  <si>
    <t xml:space="preserve">06086</t>
  </si>
  <si>
    <t xml:space="preserve">Fangzhou Inc.</t>
  </si>
  <si>
    <t xml:space="preserve">09680</t>
  </si>
  <si>
    <t xml:space="preserve">Chenqi Technology Limited</t>
  </si>
  <si>
    <t xml:space="preserve">01334</t>
  </si>
  <si>
    <t xml:space="preserve">RUICHANG INTERNATIONAL HOLDINGS LIMITED</t>
  </si>
  <si>
    <t xml:space="preserve">02495</t>
  </si>
  <si>
    <t xml:space="preserve">Shanghai Voicecomm Information Technology Co., Ltd. . - H shares</t>
  </si>
  <si>
    <t xml:space="preserve">02507</t>
  </si>
  <si>
    <t xml:space="preserve">Cirrus Aircraft Limited</t>
  </si>
  <si>
    <t xml:space="preserve">02531</t>
  </si>
  <si>
    <t xml:space="preserve">GL-Carlink Technology Holding Limited</t>
  </si>
  <si>
    <t xml:space="preserve">01471</t>
  </si>
  <si>
    <t xml:space="preserve">Zhongmiao Holdings (Qingdao) Co., Ltd. - H shares</t>
  </si>
  <si>
    <t xml:space="preserve">02533</t>
  </si>
  <si>
    <t xml:space="preserve">Black Sesame International Holding Limited</t>
  </si>
  <si>
    <t xml:space="preserve">02410</t>
  </si>
  <si>
    <t xml:space="preserve">TYK Medicines, Inc - B - H Shares</t>
  </si>
  <si>
    <t xml:space="preserve">00300</t>
  </si>
  <si>
    <t xml:space="preserve">Midea Group Co., Ltd. - H Shares</t>
  </si>
  <si>
    <t xml:space="preserve">02549</t>
  </si>
  <si>
    <t xml:space="preserve">Carote Ltd</t>
  </si>
  <si>
    <t xml:space="preserve">02576</t>
  </si>
  <si>
    <t xml:space="preserve">Zhejiang Taimei Medical Technology Co., Ltd. - H Shares</t>
  </si>
  <si>
    <t xml:space="preserve">09639</t>
  </si>
  <si>
    <t xml:space="preserve">Wing Lee Development Construction Holdings Limited</t>
  </si>
  <si>
    <t xml:space="preserve">02567</t>
  </si>
  <si>
    <t xml:space="preserve">Qiniu Limited</t>
  </si>
  <si>
    <t xml:space="preserve">02460</t>
  </si>
  <si>
    <t xml:space="preserve">China Resources Beverage (Holdings) Company Limited</t>
  </si>
  <si>
    <t xml:space="preserve">09660</t>
  </si>
  <si>
    <t xml:space="preserve">Horizon Robotics - W</t>
  </si>
  <si>
    <t xml:space="preserve">02465</t>
  </si>
  <si>
    <t xml:space="preserve">Jiangsu Lopal Tech. Co., Ltd. - H shares</t>
  </si>
  <si>
    <t xml:space="preserve">02562</t>
  </si>
  <si>
    <t xml:space="preserve">Synagistics Limited</t>
  </si>
  <si>
    <t xml:space="preserve">02563</t>
  </si>
  <si>
    <t xml:space="preserve">Beijing Biostar Pharmaceuticals Co., Ltd. - B - H Shares</t>
  </si>
  <si>
    <t xml:space="preserve">02510</t>
  </si>
  <si>
    <t xml:space="preserve">T.S. Lines Limited</t>
  </si>
  <si>
    <t xml:space="preserve">02551</t>
  </si>
  <si>
    <t xml:space="preserve">APT Electronics Co., Ltd. - H shares</t>
  </si>
  <si>
    <t xml:space="preserve">02519</t>
  </si>
  <si>
    <t xml:space="preserve">AuGroup (SHENZHEN) Cross-Border Business Co., Ltd. - H shares</t>
  </si>
  <si>
    <t xml:space="preserve">02582</t>
  </si>
  <si>
    <t xml:space="preserve">Jiangsu Guofu Hydrogen Energy Equipment Co., Ltd. - H shares</t>
  </si>
  <si>
    <t xml:space="preserve">06936</t>
  </si>
  <si>
    <t xml:space="preserve">S.F. Holding Co., Ltd. - H shares</t>
  </si>
  <si>
    <t xml:space="preserve">02566</t>
  </si>
  <si>
    <t xml:space="preserve">Hangzhou Jiuyuan Gene Engineering Co., Ltd. - H shares</t>
  </si>
  <si>
    <t xml:space="preserve">02585</t>
  </si>
  <si>
    <t xml:space="preserve">Mokingran Jewellery Group Co., Ltd. - H shares</t>
  </si>
  <si>
    <t xml:space="preserve">02586</t>
  </si>
  <si>
    <t xml:space="preserve">Dmall Inc.</t>
  </si>
  <si>
    <t xml:space="preserve">02570</t>
  </si>
  <si>
    <t xml:space="preserve">Shanghai REFIRE Group Limited - H shares</t>
  </si>
  <si>
    <t xml:space="preserve">01318</t>
  </si>
  <si>
    <t xml:space="preserve">Mao Geping Cosmetics Co., Ltd. - H shares</t>
  </si>
  <si>
    <t xml:space="preserve">02593</t>
  </si>
  <si>
    <t xml:space="preserve">Herbs Generation Group Holdings Limited</t>
  </si>
  <si>
    <t xml:space="preserve">00999</t>
  </si>
  <si>
    <t xml:space="preserve">Xiaocaiyuan International Holding Ltd.</t>
  </si>
  <si>
    <t xml:space="preserve">02432</t>
  </si>
  <si>
    <t xml:space="preserve">Shenzhen Dobot Corp Ltd - H shares</t>
  </si>
  <si>
    <t xml:space="preserve">02431</t>
  </si>
  <si>
    <t xml:space="preserve">Minieye Technology Co., Ltd - H shares</t>
  </si>
  <si>
    <t xml:space="preserve">02587</t>
  </si>
  <si>
    <t xml:space="preserve">HealthyWay Inc.</t>
  </si>
  <si>
    <t xml:space="preserve">02577</t>
  </si>
  <si>
    <t xml:space="preserve">InnoScience (Suzhou) Technology Holding Co., Ltd. - H shares</t>
  </si>
  <si>
    <t xml:space="preserve">02506</t>
  </si>
  <si>
    <t xml:space="preserve">Xunfei Healthcare Technology Co., Ltd. - H shares</t>
  </si>
  <si>
    <t xml:space="preserve">06681</t>
  </si>
  <si>
    <t xml:space="preserve">BrainAurora Medical Technology Limited - B</t>
  </si>
  <si>
    <t xml:space="preserve">https://www2.hkexnews.hk/-/media/HKEXnews/Homepage/New-Listings/New-Listing-Information/New-Listing-Report/Main/NLR2025_Eng.xlsx</t>
  </si>
  <si>
    <t xml:space="preserve">02560</t>
  </si>
  <si>
    <t xml:space="preserve">Anhui Conch Material Technology Co., Ltd. - H shares</t>
  </si>
  <si>
    <t xml:space="preserve">02613</t>
  </si>
  <si>
    <t xml:space="preserve">ContiOcean Environment Tech Group Co., Ltd. - H shares</t>
  </si>
  <si>
    <t xml:space="preserve">00325</t>
  </si>
  <si>
    <t xml:space="preserve">Bloks Group Limited</t>
  </si>
  <si>
    <t xml:space="preserve">02530</t>
  </si>
  <si>
    <t xml:space="preserve">Numans Health Food Holdings Company Limited</t>
  </si>
  <si>
    <t xml:space="preserve">Life and health: Health Food is food.</t>
  </si>
  <si>
    <t xml:space="preserve">00805</t>
  </si>
  <si>
    <t xml:space="preserve">New Gonow Recreational Vehicles Inc.</t>
  </si>
  <si>
    <t xml:space="preserve">02596</t>
  </si>
  <si>
    <t xml:space="preserve">Yibin City Commercial Bank Co., Ltd - H Shares</t>
  </si>
  <si>
    <t xml:space="preserve">02571</t>
  </si>
  <si>
    <t xml:space="preserve">Beijing Saimo Technology Co., Ltd. - H shares</t>
  </si>
  <si>
    <t xml:space="preserve">01364</t>
  </si>
  <si>
    <t xml:space="preserve">Guming Holdings Limited</t>
  </si>
  <si>
    <t xml:space="preserve">09893</t>
  </si>
  <si>
    <t xml:space="preserve">Pizu Group Holdings Ltd.</t>
  </si>
  <si>
    <t xml:space="preserve">02097</t>
  </si>
  <si>
    <t xml:space="preserve">MIXUE Group - H shares</t>
  </si>
  <si>
    <t xml:space="preserve">06676</t>
  </si>
  <si>
    <t xml:space="preserve">ZG Group - W</t>
  </si>
  <si>
    <t xml:space="preserve">06693</t>
  </si>
  <si>
    <t xml:space="preserve">Chifeng Jilong Gold Mining Co., Ltd. - H shares</t>
  </si>
  <si>
    <t xml:space="preserve">02561</t>
  </si>
  <si>
    <t xml:space="preserve">VISEN Pharmaceuticals -B</t>
  </si>
  <si>
    <t xml:space="preserve">02610</t>
  </si>
  <si>
    <t xml:space="preserve">Nanshan Aluminium International Holdings Limited</t>
  </si>
  <si>
    <t xml:space="preserve">02569</t>
  </si>
  <si>
    <t xml:space="preserve">Soft International Group Ltd</t>
  </si>
  <si>
    <t xml:space="preserve">02625</t>
  </si>
  <si>
    <t xml:space="preserve">Jiangsu Horizon Chain Supermarket Company Limited - H shares</t>
  </si>
  <si>
    <t xml:space="preserve">03677</t>
  </si>
  <si>
    <t xml:space="preserve">Jiangsu Zenergy Battery Technologies Group Co., Ltd.- H shares</t>
  </si>
  <si>
    <t xml:space="preserve">09606</t>
  </si>
  <si>
    <t xml:space="preserve">Duality Biotherapeutics, Inc. - B</t>
  </si>
  <si>
    <t xml:space="preserve">01333</t>
  </si>
  <si>
    <t xml:space="preserve">Breton Technology Co., Ltd.- H shares</t>
  </si>
  <si>
    <t xml:space="preserve">02589</t>
  </si>
  <si>
    <t xml:space="preserve">Auntea Jenny (Shanghai) Industrial Co., Ltd. - H shares</t>
  </si>
  <si>
    <t xml:space="preserve">02865</t>
  </si>
  <si>
    <t xml:space="preserve">Hainan Drinda New Energy Technology Co., Ltd. - H shares</t>
  </si>
  <si>
    <t xml:space="preserve">06831</t>
  </si>
  <si>
    <t xml:space="preserve">Green Tea Group Limited</t>
  </si>
  <si>
    <t xml:space="preserve">03750</t>
  </si>
  <si>
    <t xml:space="preserve">Contemporary Amperex Technology Co., Limited - H shares</t>
  </si>
  <si>
    <t xml:space="preserve">02629</t>
  </si>
  <si>
    <t xml:space="preserve">Mirxes Holding Company Limited - B</t>
  </si>
  <si>
    <t xml:space="preserve">01276</t>
  </si>
  <si>
    <t xml:space="preserve">Jiangsu Hengrui Pharmaceuticals Co., Ltd. - H shares</t>
  </si>
  <si>
    <t xml:space="preserve">02565</t>
  </si>
  <si>
    <t xml:space="preserve">PegBio Co., Ltd. - B - H shares</t>
  </si>
  <si>
    <t xml:space="preserve">02603</t>
  </si>
  <si>
    <t xml:space="preserve">Xiamen Jihong Co., Ltd - H shares</t>
  </si>
  <si>
    <t xml:space="preserve">02621</t>
  </si>
  <si>
    <t xml:space="preserve">Shouhui Group Ltd.</t>
  </si>
  <si>
    <t xml:space="preserve">02605</t>
  </si>
  <si>
    <t xml:space="preserve">MetaLight Inc.</t>
  </si>
  <si>
    <t xml:space="preserve">02573</t>
  </si>
  <si>
    <t xml:space="preserve">Newtrend Group Holding Co., Ltd. - H shares</t>
  </si>
  <si>
    <t xml:space="preserve">09881</t>
  </si>
  <si>
    <t xml:space="preserve">Rongta Technology (Xiamen) Group Co., Ltd. - H shares</t>
  </si>
  <si>
    <t xml:space="preserve">03288</t>
  </si>
  <si>
    <t xml:space="preserve">Foshan Haitian Flavouring and Food Company Ltd. - H shares</t>
  </si>
  <si>
    <t xml:space="preserve">02609</t>
  </si>
  <si>
    <t xml:space="preserve">Bayzed Health Group Inc</t>
  </si>
  <si>
    <t xml:space="preserve">02617</t>
  </si>
  <si>
    <t xml:space="preserve">TransThera Sciences (Nanjing), Inc. - B - H shares</t>
  </si>
  <si>
    <t xml:space="preserve">02050</t>
  </si>
  <si>
    <t xml:space="preserve">Zhejiang Sanhua Intelligent Controls Co., Ltd. - H shares</t>
  </si>
  <si>
    <t xml:space="preserve">02643</t>
  </si>
  <si>
    <t xml:space="preserve">CaoCao Inc.</t>
  </si>
  <si>
    <t xml:space="preserve">02619</t>
  </si>
  <si>
    <t xml:space="preserve">X.J. Electrics (Hu Bei) Co., Ltd - H Shares</t>
  </si>
  <si>
    <t xml:space="preserve">06883</t>
  </si>
  <si>
    <t xml:space="preserve">Eternal Beauty Holdings Limited</t>
  </si>
  <si>
    <t xml:space="preserve">02508</t>
  </si>
  <si>
    <t xml:space="preserve">SAINT BELLA Inc.</t>
  </si>
  <si>
    <t xml:space="preserve">06168</t>
  </si>
  <si>
    <t xml:space="preserve">Zhou Liu Fu Jewellery Co., Ltd. - H shares</t>
  </si>
  <si>
    <t xml:space="preserve">06603</t>
  </si>
  <si>
    <t xml:space="preserve">IFBH Limited</t>
  </si>
  <si>
    <t xml:space="preserve">03880</t>
  </si>
  <si>
    <t xml:space="preserve">Medtide Inc. - H shares</t>
  </si>
  <si>
    <t xml:space="preserve">09678</t>
  </si>
  <si>
    <t xml:space="preserve">Unisound AI Technology Co., Ltd. - H shares</t>
  </si>
  <si>
    <t xml:space="preserve">02592</t>
  </si>
  <si>
    <t xml:space="preserve">Cloudbreak Pharma Inc. - B</t>
  </si>
  <si>
    <t xml:space="preserve">02648</t>
  </si>
  <si>
    <t xml:space="preserve">Anjoy Foods Group Co., Ltd. - H shares</t>
  </si>
  <si>
    <t xml:space="preserve">01828</t>
  </si>
  <si>
    <t xml:space="preserve">FWD Group Holdings Limited</t>
  </si>
  <si>
    <t xml:space="preserve">02590</t>
  </si>
  <si>
    <t xml:space="preserve">Beijing Geekplus Technology Co., Ltd. - W - H shares</t>
  </si>
  <si>
    <t xml:space="preserve">02597</t>
  </si>
  <si>
    <t xml:space="preserve">Beijing Xunzhong Communication Technology Co., Ltd. - H shares</t>
  </si>
  <si>
    <t xml:space="preserve">01304</t>
  </si>
  <si>
    <t xml:space="preserve">Fortior Technology (Shenzhen) Co., Ltd.- H shares</t>
  </si>
  <si>
    <t xml:space="preserve">06613</t>
  </si>
  <si>
    <t xml:space="preserve">Lens Technology Co., Ltd. - H shares</t>
  </si>
  <si>
    <t xml:space="preserve">02651</t>
  </si>
  <si>
    <t xml:space="preserve">Wuhan Dazhong Dental Medical Co., Ltd. - H shares</t>
  </si>
  <si>
    <t xml:space="preserve">09887</t>
  </si>
  <si>
    <t xml:space="preserve">Nanjing Leads Biolabs Co., Ltd. - B - H shares</t>
  </si>
  <si>
    <t xml:space="preserve">06887</t>
  </si>
  <si>
    <t xml:space="preserve">Sunshine Lake Pharma Co., Ltd. - H shares</t>
  </si>
  <si>
    <t xml:space="preserve">02627</t>
  </si>
  <si>
    <t xml:space="preserve">Ab&amp;B Bio-Tech CO., LTD. JS - B - H shares</t>
  </si>
  <si>
    <t xml:space="preserve">02591</t>
  </si>
  <si>
    <t xml:space="preserve">Guangzhou Innogen Pharmaceutical Group Co., Ltd. - B - H shares</t>
  </si>
  <si>
    <t xml:space="preserve">02631</t>
  </si>
  <si>
    <t xml:space="preserve">SICC CO., LTD. - H shares</t>
  </si>
  <si>
    <t xml:space="preserve">06960</t>
  </si>
  <si>
    <t xml:space="preserve">SHUANGDENG GROUP CO., LTD. - H shares</t>
  </si>
  <si>
    <t xml:space="preserve">03858</t>
  </si>
  <si>
    <t xml:space="preserve">Jiaxin International Resources Investment Limited</t>
  </si>
  <si>
    <t xml:space="preserve">2580</t>
  </si>
  <si>
    <t xml:space="preserve">AUX ELECTRIC CO., LTD.</t>
  </si>
  <si>
    <t xml:space="preserve">02543</t>
  </si>
  <si>
    <t xml:space="preserve">DAHON TECH (SHENZHEN) CO., LTD. - H shares</t>
  </si>
  <si>
    <t xml:space="preserve">02525</t>
  </si>
  <si>
    <t xml:space="preserve">Hesai Group - W</t>
  </si>
  <si>
    <t xml:space="preserve">02656</t>
  </si>
  <si>
    <t xml:space="preserve">160 Health International Limited</t>
  </si>
  <si>
    <t xml:space="preserve">02595</t>
  </si>
  <si>
    <t xml:space="preserve">GenFleet Therapeutics (Shanghai) Inc - B - H shares</t>
  </si>
  <si>
    <t xml:space="preserve">06090</t>
  </si>
  <si>
    <t xml:space="preserve">BUTONG GROUP</t>
  </si>
  <si>
    <t xml:space="preserve">09973</t>
  </si>
  <si>
    <t xml:space="preserve">Chery Automobile Co., Ltd. - H shares</t>
  </si>
  <si>
    <t xml:space="preserve">02889</t>
  </si>
  <si>
    <t xml:space="preserve">PATEO CONNECT Technology (Shanghai) Corporation - H shares</t>
  </si>
  <si>
    <t xml:space="preserve">02583</t>
  </si>
  <si>
    <t xml:space="preserve">Shenzhen Hiphine Precision Technology Co., Ltd. - H shares</t>
  </si>
  <si>
    <t xml:space="preserve">02259</t>
  </si>
  <si>
    <t xml:space="preserve">Zijin Gold International Company Limited</t>
  </si>
  <si>
    <t xml:space="preserve">02652</t>
  </si>
  <si>
    <t xml:space="preserve">CF PharmTech, Inc. - H shares</t>
  </si>
  <si>
    <t xml:space="preserve">02650</t>
  </si>
  <si>
    <t xml:space="preserve">Shanghai Zhida Technology Development Co., Ltd. - H shares</t>
  </si>
  <si>
    <t xml:space="preserve">02575</t>
  </si>
  <si>
    <t xml:space="preserve">Xuanzhu Biopharmaceutical Co., Ltd. - B - H shares</t>
  </si>
  <si>
    <t xml:space="preserve">02670</t>
  </si>
  <si>
    <t xml:space="preserve">Beijing Yunji Technology Co., Ltd. - H shares</t>
  </si>
  <si>
    <t xml:space="preserve">02637</t>
  </si>
  <si>
    <t xml:space="preserve">Fujian Haixi Pharmaceuticals Co., Ltd. - H shares</t>
  </si>
  <si>
    <t xml:space="preserve">06687</t>
  </si>
  <si>
    <t xml:space="preserve">JST Group Corporation Limited</t>
  </si>
  <si>
    <t xml:space="preserve">00638</t>
  </si>
  <si>
    <t xml:space="preserve">Fibocom Wireless Inc. - H shares</t>
  </si>
  <si>
    <t xml:space="preserve">06980</t>
  </si>
  <si>
    <t xml:space="preserve">Bama Tea Co., Ltd. - H shares</t>
  </si>
  <si>
    <t xml:space="preserve">06166</t>
  </si>
  <si>
    <t xml:space="preserve">CIG SHANGHAI CO., LTD. - H shares</t>
  </si>
  <si>
    <t xml:space="preserve">01384</t>
  </si>
  <si>
    <t xml:space="preserve">Deepexi Technology Co., Ltd. - H shares</t>
  </si>
  <si>
    <t xml:space="preserve">06031</t>
  </si>
  <si>
    <t xml:space="preserve">SANY HEAVY INDUSTRY CO., LTD. - H shares</t>
  </si>
  <si>
    <t xml:space="preserve">02718</t>
  </si>
  <si>
    <t xml:space="preserve">Mininglamp Technology - W</t>
  </si>
  <si>
    <t xml:space="preserve">09876</t>
  </si>
  <si>
    <t xml:space="preserve">Ocean One Holding Ltd.</t>
  </si>
  <si>
    <t xml:space="preserve">09927</t>
  </si>
  <si>
    <t xml:space="preserve">Seres Group Co., Ltd. - H shares</t>
  </si>
  <si>
    <t xml:space="preserve">00699</t>
  </si>
  <si>
    <t xml:space="preserve">NINGBO JOYSON ELECTRONIC CORP.- H shares</t>
  </si>
  <si>
    <t xml:space="preserve">02026</t>
  </si>
  <si>
    <t xml:space="preserve">Pony AI Inc. - W</t>
  </si>
  <si>
    <t xml:space="preserve">02630</t>
  </si>
  <si>
    <t xml:space="preserve">Vigonvita Life Sciences Co., Ltd. - B - H shares</t>
  </si>
  <si>
    <t xml:space="preserve">00800</t>
  </si>
  <si>
    <t xml:space="preserve">WeRide Inc. - W</t>
  </si>
  <si>
    <t xml:space="preserve">02698</t>
  </si>
  <si>
    <t xml:space="preserve">Softcare Limited</t>
  </si>
  <si>
    <t xml:space="preserve">02579</t>
  </si>
  <si>
    <t xml:space="preserve">CNGR Advanced Material Co., Ltd. - H shares</t>
  </si>
  <si>
    <t xml:space="preserve">02788</t>
  </si>
  <si>
    <t xml:space="preserve">Chuangxin Industries Holdings Limited</t>
  </si>
  <si>
    <t xml:space="preserve">02685</t>
  </si>
  <si>
    <t xml:space="preserve">Quantgroup Holding Limited</t>
  </si>
  <si>
    <t xml:space="preserve">09609</t>
  </si>
  <si>
    <t xml:space="preserve">Hebei Haiwei Electronic New Material Technology Co., Ltd.- H shares</t>
  </si>
  <si>
    <t xml:space="preserve">02693</t>
  </si>
  <si>
    <t xml:space="preserve">ANHUI JINYAN KAOLIN NEW MATERIALS CO., LTD. - H shares</t>
  </si>
  <si>
    <t xml:space="preserve">02539</t>
  </si>
  <si>
    <t xml:space="preserve">Lemo Services Co., Ltd - H shares</t>
  </si>
  <si>
    <t xml:space="preserve">02658</t>
  </si>
  <si>
    <t xml:space="preserve">Guangdong Tianyu Semiconductor Co., Ltd. - H shares</t>
  </si>
  <si>
    <t xml:space="preserve">02408</t>
  </si>
  <si>
    <t xml:space="preserve">Guangzhou Xiao Noodles Catering Management Co., Ltd.- H shares</t>
  </si>
  <si>
    <t xml:space="preserve">02687</t>
  </si>
  <si>
    <t xml:space="preserve">SHANGHAI ABLE DIGITAL SCIENCE&amp;TECH CO., LTD. - H shares</t>
  </si>
  <si>
    <t xml:space="preserve">02676</t>
  </si>
  <si>
    <t xml:space="preserve">Suzhou Novosense Microelectronics Co., Ltd. - H shares</t>
  </si>
  <si>
    <t xml:space="preserve">02659</t>
  </si>
  <si>
    <t xml:space="preserve">Shanghai Bao Pharmaceuticals Co., Ltd. - B - H shares</t>
  </si>
  <si>
    <t xml:space="preserve">02665</t>
  </si>
  <si>
    <t xml:space="preserve">Seyond Holdings Ltd.</t>
  </si>
  <si>
    <t xml:space="preserve">07618</t>
  </si>
  <si>
    <t xml:space="preserve">JINGDONG Industrials, Inc.</t>
  </si>
  <si>
    <t xml:space="preserve">02655</t>
  </si>
  <si>
    <t xml:space="preserve">Guoxia Technology Co., Ltd. - H shares</t>
  </si>
  <si>
    <t xml:space="preserve">03887</t>
  </si>
  <si>
    <t xml:space="preserve">HashKey Holdings Limited</t>
  </si>
  <si>
    <t xml:space="preserve">03881</t>
  </si>
  <si>
    <t xml:space="preserve">CiDi Inc. - H shares</t>
  </si>
  <si>
    <t xml:space="preserve">02546</t>
  </si>
  <si>
    <t xml:space="preserve">Xizang Zhihui Mining Co., Ltd. - H shares</t>
  </si>
  <si>
    <t xml:space="preserve">02396</t>
  </si>
  <si>
    <t xml:space="preserve">B&amp;K CORPORATION LIMITED - B - H shares</t>
  </si>
  <si>
    <t xml:space="preserve">02581</t>
  </si>
  <si>
    <t xml:space="preserve">BenQ BM Holding Cayman Corp.</t>
  </si>
  <si>
    <t xml:space="preserve">02695</t>
  </si>
  <si>
    <t xml:space="preserve">Impression Dahongpao Co., Ltd. - H shares</t>
  </si>
  <si>
    <t xml:space="preserve">02691</t>
  </si>
  <si>
    <t xml:space="preserve">Nanhua Futures Co., Ltd. - H shares</t>
  </si>
  <si>
    <t xml:space="preserve">03378</t>
  </si>
  <si>
    <t xml:space="preserve">Hanx Biopharmaceuticals (Wuhan) Co., Ltd. - B - H shares</t>
  </si>
  <si>
    <t xml:space="preserve">02635</t>
  </si>
  <si>
    <t xml:space="preserve">Nuobikan Artificial Intelligence Technology (Chengdu) Co., Ltd. - H shares</t>
  </si>
  <si>
    <t xml:space="preserve">02661</t>
  </si>
  <si>
    <t xml:space="preserve">QingSong Health Corporation</t>
  </si>
  <si>
    <t xml:space="preserve">06651</t>
  </si>
  <si>
    <t xml:space="preserve">Beijing 51WORLD Digital Twin Technology Co., Ltd.- H shares</t>
  </si>
  <si>
    <t xml:space="preserve">3696</t>
  </si>
  <si>
    <t xml:space="preserve">InSilico Medicine Cayman TopCo</t>
  </si>
  <si>
    <t xml:space="preserve">OneRobotics (Shenzhen) Co., Ltd.- H shares</t>
  </si>
  <si>
    <t xml:space="preserve">02657</t>
  </si>
  <si>
    <t xml:space="preserve">SHANGHAI FOREST CABIN COSMETICS GROUP CO., LTD. - H shares</t>
  </si>
  <si>
    <t xml:space="preserve">03317</t>
  </si>
  <si>
    <t xml:space="preserve">Shenzhen Xunce Technology Co., Ltd.- H shares</t>
  </si>
  <si>
    <t xml:space="preserve">02671</t>
  </si>
  <si>
    <t xml:space="preserve">USAS Building System (Shanghai) Co., Ltd. - H shares</t>
  </si>
  <si>
    <t xml:space="preserve">06082</t>
  </si>
  <si>
    <t xml:space="preserve">Shanghai Biren Technology Co., Ltd.- H shares</t>
  </si>
  <si>
    <t xml:space="preserve">https://www2.hkexnews.hk/-/media/HKEXnews/Homepage/New-Listings/New-Listing-Information/New-Listing-Report/Main/NLR2026_Eng.xlsx</t>
  </si>
  <si>
    <t xml:space="preserve">02513</t>
  </si>
  <si>
    <t xml:space="preserve">Knowledge Atlas Technology Joint Stock Company Limited - H shares</t>
  </si>
  <si>
    <t xml:space="preserve">09903</t>
  </si>
  <si>
    <t xml:space="preserve">Shanghai Iluvatar CoreX Semiconductor Co., Ltd. - H shares</t>
  </si>
  <si>
    <t xml:space="preserve">02675</t>
  </si>
  <si>
    <t xml:space="preserve">Shenzhen Edge Medical Co., Ltd.- B - H shares</t>
  </si>
  <si>
    <t xml:space="preserve">00100</t>
  </si>
  <si>
    <t xml:space="preserve">MiniMax Group Inc. - W - P</t>
  </si>
  <si>
    <t xml:space="preserve">06938</t>
  </si>
  <si>
    <t xml:space="preserve">Suzhou Ribo Life Science Co., Ltd. - B - H shares</t>
  </si>
  <si>
    <t xml:space="preserve">03636</t>
  </si>
  <si>
    <t xml:space="preserve">Yunnan Jinxun Resources Co., Ltd. - H shares</t>
  </si>
  <si>
    <t xml:space="preserve">00501</t>
  </si>
  <si>
    <t xml:space="preserve">OmniVision Integrated Circuits Group, Inc. - H shares</t>
  </si>
  <si>
    <t xml:space="preserve">03986</t>
  </si>
  <si>
    <t xml:space="preserve">GigaDevice Semiconductor Inc. - H shares</t>
  </si>
  <si>
    <t xml:space="preserve">01641</t>
  </si>
  <si>
    <t xml:space="preserve">Hongxing Coldchain (Hunan) Co., Ltd.- H shares</t>
  </si>
  <si>
    <t xml:space="preserve">09611</t>
  </si>
  <si>
    <t xml:space="preserve">Shanghai Longcheer Technology Co., Ltd.- H shares</t>
  </si>
  <si>
    <t xml:space="preserve">01768</t>
  </si>
  <si>
    <t xml:space="preserve">BUSY MING GROUP CO., LTD.- H shares</t>
  </si>
  <si>
    <t xml:space="preserve">09980</t>
  </si>
  <si>
    <t xml:space="preserve">Eastroc Beverage (Group) Co., Ltd. - H shares</t>
  </si>
  <si>
    <t xml:space="preserve">02768</t>
  </si>
  <si>
    <t xml:space="preserve">Qingdao Gon Technology Co., Ltd. - H shares</t>
  </si>
  <si>
    <t xml:space="preserve">02677</t>
  </si>
  <si>
    <t xml:space="preserve">Distinct Healthcare Holdings Limited</t>
  </si>
  <si>
    <t xml:space="preserve">02714</t>
  </si>
  <si>
    <t xml:space="preserve">Muyuan Foods Co., Ltd. - H shares</t>
  </si>
  <si>
    <t xml:space="preserve">03200</t>
  </si>
  <si>
    <t xml:space="preserve">Shenzhen Han’s CNC Technology Co., Ltd. - H shares</t>
  </si>
  <si>
    <t xml:space="preserve">06809</t>
  </si>
  <si>
    <t xml:space="preserve">Montage Technology Co., Ltd. - H shares</t>
  </si>
  <si>
    <t xml:space="preserve">00600</t>
  </si>
  <si>
    <t xml:space="preserve">Axera Semiconductor Co., Ltd. - H shares</t>
  </si>
  <si>
    <t xml:space="preserve">02720</t>
  </si>
  <si>
    <t xml:space="preserve">Ridge Outdoor International Limited</t>
  </si>
  <si>
    <t xml:space="preserve">00470</t>
  </si>
  <si>
    <t xml:space="preserve">WUXI LEAD INTELLIGENT EQUIPMENT CO., LTD. - H shares</t>
  </si>
  <si>
    <t xml:space="preserve">02706</t>
  </si>
  <si>
    <t xml:space="preserve">Beijing Haizhi Technology Group Co., Ltd. - H Shares</t>
  </si>
  <si>
    <t xml:space="preserve">09981</t>
  </si>
  <si>
    <t xml:space="preserve">Shenzhen Woer Heat-Shrinkable Material Co., Ltd. - H Shares</t>
  </si>
  <si>
    <t xml:space="preserve">02649</t>
  </si>
  <si>
    <t xml:space="preserve">ALSCO Pooling Service Co., Ltd. - H Shares</t>
  </si>
  <si>
    <t xml:space="preserve">02715</t>
  </si>
  <si>
    <t xml:space="preserve">ESTUN AUTOMATION CO., LTD - H Shares</t>
  </si>
  <si>
    <t xml:space="preserve">02692</t>
  </si>
  <si>
    <t xml:space="preserve">Shenzhen Zhaowei Machinery &amp; Electronics Co., Ltd. - H Shares</t>
  </si>
  <si>
    <t xml:space="preserve">03268</t>
  </si>
  <si>
    <t xml:space="preserve">MeiG Smart Technology Co., Ltd. - H Shares</t>
  </si>
  <si>
    <t xml:space="preserve">07489</t>
  </si>
  <si>
    <t xml:space="preserve">VOYAH Automotive Technology Co., Ltd. - H Shares</t>
  </si>
  <si>
    <t xml:space="preserve">01989</t>
  </si>
  <si>
    <t xml:space="preserve">Delton Technology (Guangzhou) Inc. - H Shares</t>
  </si>
  <si>
    <t xml:space="preserve">02701</t>
  </si>
  <si>
    <t xml:space="preserve">Nsing Technologies Inc. - H Shares</t>
  </si>
  <si>
    <t xml:space="preserve">03355</t>
  </si>
  <si>
    <t xml:space="preserve">FS.COM Ltd. - H Shares</t>
  </si>
  <si>
    <t xml:space="preserve">02632</t>
  </si>
  <si>
    <t xml:space="preserve">Jiangsu New Vision Automotive Electronics Co., Ltd. - H Shares</t>
  </si>
  <si>
    <t xml:space="preserve">02729</t>
  </si>
  <si>
    <t xml:space="preserve">Zhejiang Galaxis Technology Group Co., Ltd. - H Shares</t>
  </si>
  <si>
    <t xml:space="preserve">01021</t>
  </si>
  <si>
    <t xml:space="preserve">Guangdong Huayan Robotics Co., Ltd. - H Shares</t>
  </si>
  <si>
    <t xml:space="preserve">02526</t>
  </si>
  <si>
    <t xml:space="preserve">Hangzhou Diagens Biotechnology Co., Ltd. - B - H Shares</t>
  </si>
  <si>
    <t xml:space="preserve">02726</t>
  </si>
  <si>
    <t xml:space="preserve">Epiworld International Co., Ltd. - H Shares</t>
  </si>
  <si>
    <t xml:space="preserve">06636</t>
  </si>
  <si>
    <t xml:space="preserve">Shandong Extreme Vision Technology Co., Ltd. - H Shares</t>
  </si>
  <si>
    <t xml:space="preserve">00664</t>
  </si>
  <si>
    <t xml:space="preserve">Hangzhou Tongshifu Cultural and Creative (Group) Co., Ltd. - H Shares</t>
  </si>
  <si>
    <t xml:space="preserve">03625</t>
  </si>
  <si>
    <t xml:space="preserve">Shanghai FourSemi Semiconductor Co., Ltd. - H Shares</t>
  </si>
  <si>
    <t xml:space="preserve">06656</t>
  </si>
  <si>
    <t xml:space="preserve">Sigenergy Technology Co., Ltd. - H Shares</t>
  </si>
  <si>
    <t xml:space="preserve">03277</t>
  </si>
  <si>
    <t xml:space="preserve">Gpixel Changchun Microelectronics Inc. - H Shares</t>
  </si>
  <si>
    <t xml:space="preserve">00068</t>
  </si>
  <si>
    <t xml:space="preserve">Manycore Tech Inc.</t>
  </si>
  <si>
    <t xml:space="preserve">06051</t>
  </si>
  <si>
    <t xml:space="preserve">Youzan Technology Limited</t>
  </si>
  <si>
    <t xml:space="preserve">02476</t>
  </si>
  <si>
    <t xml:space="preserve">Victory Giant Technology (HuiZhou) Co., Ltd. - H Shares</t>
  </si>
  <si>
    <t xml:space="preserve">03296</t>
  </si>
  <si>
    <t xml:space="preserve">Huaqin Co., Ltd. - H Shares</t>
  </si>
  <si>
    <t xml:space="preserve">01879</t>
  </si>
  <si>
    <t xml:space="preserve">Shanghai Xizhi Technology Co., Ltd. - P - H Shares</t>
  </si>
  <si>
    <t xml:space="preserve">02493</t>
  </si>
  <si>
    <t xml:space="preserve">Mabwell (Shanghai) Bioscience Co., Ltd. - B - H Shares</t>
  </si>
  <si>
    <t xml:space="preserve">06810</t>
  </si>
  <si>
    <t xml:space="preserve">Shanghai Sunmi Technology Co., Ltd. - W - H Shares</t>
  </si>
  <si>
    <t xml:space="preserve">01609</t>
  </si>
  <si>
    <t xml:space="preserve">Star Sports Medicine Co., Ltd. - H Shares</t>
  </si>
  <si>
    <t xml:space="preserve">01187</t>
  </si>
  <si>
    <t xml:space="preserve">Cofoe Medical Technology Co., Ltd. - H Shares</t>
  </si>
  <si>
    <t xml:space="preserve">01236</t>
  </si>
  <si>
    <t xml:space="preserve">SHENZHEN LDROBOT CO., LTD - H Shares</t>
  </si>
  <si>
    <t xml:space="preserve">07630</t>
  </si>
  <si>
    <t xml:space="preserve">IMPACT Therapeutics, Inc - B - H Shares</t>
  </si>
  <si>
    <t xml:space="preserve">07666</t>
  </si>
  <si>
    <t xml:space="preserve">Metis TechBio Co., Ltd. - P - H Shares</t>
  </si>
  <si>
    <t xml:space="preserve">06871</t>
  </si>
  <si>
    <t xml:space="preserve">Robotphoenix Intelligent Technology Co., Ltd. - H Shares</t>
  </si>
  <si>
    <t xml:space="preserve">01511</t>
  </si>
  <si>
    <t xml:space="preserve">UISEE Technologies (Beijing) Co., Ltd. - H Shares</t>
  </si>
  <si>
    <t xml:space="preserve">07688</t>
  </si>
  <si>
    <t xml:space="preserve">Shanghai Top Numerical Control Technology Co., Ltd. - H Shares</t>
  </si>
  <si>
    <t xml:space="preserve">06872</t>
  </si>
  <si>
    <t xml:space="preserve">TenNor Therapeutics (Suzhou) Limited - B - H Shares</t>
  </si>
  <si>
    <t xml:space="preserve">00901</t>
  </si>
  <si>
    <t xml:space="preserve">Shenzhen SDMC Technology Co., Ltd. - H Shares</t>
  </si>
  <si>
    <t xml:space="preserve">02723</t>
  </si>
  <si>
    <t xml:space="preserve">Beijing DeepZero Technology Co., Ltd. - H Shares</t>
  </si>
  <si>
    <t xml:space="preserve">03310</t>
  </si>
  <si>
    <t xml:space="preserve">Viewtrix Technology Co., Ltd - H Shares</t>
  </si>
  <si>
    <t xml:space="preserve">03388</t>
  </si>
  <si>
    <t xml:space="preserve">Shenzhen Creality 3D Technology Co., Ltd. - H Shares</t>
  </si>
  <si>
    <t xml:space="preserve">02553</t>
  </si>
  <si>
    <t xml:space="preserve">Beijing Shougang LanzaTech Technology Co., Ltd. - H Shares</t>
  </si>
  <si>
    <t xml:space="preserve">01081</t>
  </si>
  <si>
    <t xml:space="preserve">Dajin Heavy Industry Co., Ltd. - H Shares</t>
  </si>
  <si>
    <t xml:space="preserve">01779</t>
  </si>
  <si>
    <t xml:space="preserve">LongBio Pharma (Suzhou) Co., Ltd. - B - H Shares</t>
  </si>
  <si>
    <t xml:space="preserve">02290</t>
  </si>
  <si>
    <t xml:space="preserve">Lung Fung Group Holdings Limited</t>
  </si>
  <si>
    <t xml:space="preserve">06658</t>
  </si>
  <si>
    <t xml:space="preserve">Liuliumei Co., Ltd. - H Shares</t>
  </si>
  <si>
    <t xml:space="preserve">06675</t>
  </si>
  <si>
    <t xml:space="preserve">SENASIC Electronics Technology Co., Ltd. - H Shares</t>
  </si>
  <si>
    <t xml:space="preserve">01392</t>
  </si>
  <si>
    <t xml:space="preserve">Shenzhen HQVT Technology Co., Ltd. - H Shares</t>
  </si>
  <si>
    <t xml:space="preserve">06067</t>
  </si>
  <si>
    <t xml:space="preserve">Shenzhen Senior Technology Material Co., Ltd. - H Shares</t>
  </si>
  <si>
    <t xml:space="preserve">06132</t>
  </si>
  <si>
    <t xml:space="preserve">HJ Science Co., Ltd. - B - H Shares</t>
  </si>
  <si>
    <t xml:space="preserve">02335</t>
  </si>
  <si>
    <t xml:space="preserve">Shaanxi Micot Pharmaceutical Technology Co., Ltd. - B - H Shares</t>
  </si>
  <si>
    <t xml:space="preserve">06106</t>
  </si>
  <si>
    <t xml:space="preserve">Shanghai Seer Intelligent Technology Co., Ltd. - H Shares</t>
  </si>
  <si>
    <t xml:space="preserve">01688</t>
  </si>
  <si>
    <t xml:space="preserve">LINGYI iTECH (GUANGDONG) COMPANY - H Shares</t>
  </si>
  <si>
    <t xml:space="preserve">01956</t>
  </si>
  <si>
    <t xml:space="preserve">Beijing Zhongke WengeAI Science and Technology Co., Ltd. - H Shares</t>
  </si>
  <si>
    <t xml:space="preserve">02272</t>
  </si>
  <si>
    <t xml:space="preserve">KEYTOP PARKING INC. - H Shares</t>
  </si>
  <si>
    <t xml:space="preserve">09630</t>
  </si>
  <si>
    <t xml:space="preserve">Circuit Fabology Microelectronics Equipment Co., Ltd. - H Shares</t>
  </si>
  <si>
    <t xml:space="preserve">03661</t>
  </si>
  <si>
    <t xml:space="preserve">SG Micro Corp - H Shares</t>
  </si>
  <si>
    <t xml:space="preserve">06228</t>
  </si>
  <si>
    <t xml:space="preserve">PT MERDEKA GOLD RESOURCES Tbk- DRS</t>
  </si>
  <si>
    <t xml:space="preserve">01191</t>
  </si>
  <si>
    <t xml:space="preserve">Crealights Technology Co., Ltd. - H Shares</t>
  </si>
  <si>
    <t xml:space="preserve">02672</t>
  </si>
  <si>
    <t xml:space="preserve">Baige Online Digital Technology Co., Ltd. - H Shares</t>
  </si>
  <si>
    <t xml:space="preserve">09637</t>
  </si>
  <si>
    <t xml:space="preserve">Alebund Pharmaceuticals (Jiangsu) Limited - B - H Shares</t>
  </si>
  <si>
    <t xml:space="preserve">02697</t>
  </si>
  <si>
    <t xml:space="preserve">Guangdong True Health Medical Technology Development Co., Ltd. - B - H Shares</t>
  </si>
  <si>
    <t xml:space="preserve">06915</t>
  </si>
  <si>
    <t xml:space="preserve">Jiangxi Institute of Biological Products Inc. - H Shares</t>
  </si>
  <si>
    <t xml:space="preserve">03952</t>
  </si>
  <si>
    <t xml:space="preserve">Zhejiang Laifual Drive Co., Ltd. - H Shares</t>
  </si>
  <si>
    <t xml:space="preserve">06715</t>
  </si>
  <si>
    <t xml:space="preserve">Hangzhou Qiandaohu Xunlong Sci-tech Co., Ltd. - H Shares</t>
  </si>
  <si>
    <t xml:space="preserve">03774</t>
  </si>
  <si>
    <t xml:space="preserve">Fameglow Holdings Limited</t>
  </si>
  <si>
    <t xml:space="preserve">00668</t>
  </si>
  <si>
    <t xml:space="preserve">Anker Innovations Technology Co., Ltd. - H Shares</t>
  </si>
  <si>
    <t xml:space="preserve">02667</t>
  </si>
  <si>
    <t xml:space="preserve">Beijing Tong Ren Tang Healthcare Investment Co., Ltd. - H Shares</t>
  </si>
  <si>
    <t xml:space="preserve">07656</t>
  </si>
  <si>
    <t xml:space="preserve">Reconova Technologies Co., Ltd. - H Shares</t>
  </si>
  <si>
    <t xml:space="preserve">09971</t>
  </si>
  <si>
    <t xml:space="preserve">BASiC Semiconductor Co., Ltd. - H Shares</t>
  </si>
  <si>
    <t xml:space="preserve">06880</t>
  </si>
  <si>
    <t xml:space="preserve">MOMENTA GLOBAL LIMITED - W</t>
  </si>
  <si>
    <t xml:space="preserve">07687</t>
  </si>
  <si>
    <t xml:space="preserve">EACON Group Co., Ltd - H Shares</t>
  </si>
  <si>
    <t xml:space="preserve">01770</t>
  </si>
  <si>
    <t xml:space="preserve">DKE Holding Company Limited - H Shares</t>
  </si>
  <si>
    <t xml:space="preserve">00537</t>
  </si>
  <si>
    <t xml:space="preserve">RIGOL Technologies Co., Ltd. - H Shares</t>
  </si>
  <si>
    <t xml:space="preserve">01377</t>
  </si>
  <si>
    <t xml:space="preserve">Guangdong Dtech Technology Co., Ltd. - H Shares</t>
  </si>
  <si>
    <t xml:space="preserve">02475</t>
  </si>
  <si>
    <t xml:space="preserve">Luxshare Precision Industry Co., Ltd. - H Shares</t>
  </si>
  <si>
    <t xml:space="preserve">03752</t>
  </si>
  <si>
    <t xml:space="preserve">Rokae (Shandong) Robotics Group Inc. - H Shares</t>
  </si>
  <si>
    <t xml:space="preserve">06951</t>
  </si>
  <si>
    <t xml:space="preserve">Chaozhou Three-Circle (Group) Co., Ltd. - H Shares</t>
  </si>
  <si>
    <t xml:space="preserve">02797</t>
  </si>
  <si>
    <t xml:space="preserve">Jiangxi Qiyunshan Food Co., Ltd. - H Shares</t>
  </si>
  <si>
    <t xml:space="preserve">02249</t>
  </si>
  <si>
    <t xml:space="preserve">NEXCHIP SEMICONDUCTOR (CHINA) LIMITED - H Shares</t>
  </si>
  <si>
    <t xml:space="preserve">06745</t>
  </si>
  <si>
    <t xml:space="preserve">Befar Group Co., Ltd - H Shares</t>
  </si>
  <si>
    <t xml:space="preserve">03308</t>
  </si>
  <si>
    <t xml:space="preserve">ZHONGJI INNOLIGHT CO., LTD. - H Shares</t>
  </si>
  <si>
    <t xml:space="preserve">02261</t>
  </si>
  <si>
    <t xml:space="preserve">NASN Intelligent Tech (Zhejiang) Co., Ltd. - H Shares</t>
  </si>
  <si>
    <t xml:space="preserve">03223</t>
  </si>
  <si>
    <t xml:space="preserve">Ingenic Semiconductor Co., Ltd. - H Shares</t>
  </si>
  <si>
    <t xml:space="preserve">09615</t>
  </si>
  <si>
    <t xml:space="preserve">Mech-Mind Robotics Technologies Co., Ltd. - H Shares</t>
  </si>
  <si>
    <t xml:space="preserve">00625</t>
  </si>
  <si>
    <t xml:space="preserve">SHEIN Global Holdings Limited - W</t>
  </si>
  <si>
    <t xml:space="preserve">02041</t>
  </si>
  <si>
    <t xml:space="preserve">Medcaptain Medical Technology Co., Ltd. - H Shares</t>
  </si>
  <si>
    <t xml:space="preserve">09976</t>
  </si>
  <si>
    <t xml:space="preserve">Shenzhen Longsys Electronics Co., Ltd. - H Shares</t>
  </si>
  <si>
    <t xml:space="preserve">03231</t>
  </si>
  <si>
    <t xml:space="preserve">Excelland Robotics (Wuxi) Co. Ltd. - H Shares</t>
  </si>
  <si>
    <t xml:space="preserve">6727</t>
  </si>
  <si>
    <t xml:space="preserve">Transwarp Technology (Shanghai) Co., Ltd - H Shares</t>
  </si>
  <si>
    <t xml:space="preserve">9856</t>
  </si>
  <si>
    <t xml:space="preserve">Ligent Technologies, Inc.</t>
  </si>
  <si>
    <t xml:space="preserve">6731</t>
  </si>
  <si>
    <t xml:space="preserve">Direct Drive Tech Limited - H Shares</t>
  </si>
  <si>
    <t xml:space="preserve">9607</t>
  </si>
  <si>
    <t xml:space="preserve">Red Avenue New Materials Group Co., Ltd.</t>
  </si>
  <si>
    <t xml:space="preserve">3757</t>
  </si>
  <si>
    <t xml:space="preserve">RoboTechnik Intelligent Technology Co., Ltd. - H Shares</t>
  </si>
  <si>
    <t xml:space="preserve">3228</t>
  </si>
  <si>
    <t xml:space="preserve">Shenzhen Kinwong Electronic Co., Ltd. - H Shares</t>
  </si>
  <si>
    <t xml:space="preserve">window</t>
  </si>
  <si>
    <t xml:space="preserve">start</t>
  </si>
  <si>
    <t xml:space="preserve">end</t>
  </si>
  <si>
    <t xml:space="preserve">Before 2022</t>
  </si>
  <si>
    <t xml:space="preserve">12 months before the first address</t>
  </si>
  <si>
    <t xml:space="preserve">After 2022</t>
  </si>
  <si>
    <t xml:space="preserve">Delivery date to the day before the next address</t>
  </si>
  <si>
    <t xml:space="preserve">After 2023</t>
  </si>
  <si>
    <t xml:space="preserve">After 2024</t>
  </si>
  <si>
    <t xml:space="preserve">After 2025</t>
  </si>
  <si>
    <t xml:space="preserve">After 2026</t>
  </si>
  <si>
    <t xml:space="preserve">Ends on the last day of the 2026 New Listing Report</t>
  </si>
  <si>
    <t xml:space="preserve">policy_industry</t>
  </si>
  <si>
    <t xml:space="preserve">named_in</t>
  </si>
  <si>
    <t xml:space="preserve">ipos</t>
  </si>
  <si>
    <t xml:space="preserve">board_ipos</t>
  </si>
  <si>
    <t xml:space="preserve">board_hkd_million</t>
  </si>
  <si>
    <t xml:space="preserve">share_of_board</t>
  </si>
  <si>
    <t xml:space="preserve">Chapter 18A biotech (B marker)</t>
  </si>
  <si>
    <t xml:space="preserve">Life and health in 2022, 2023, 2024</t>
  </si>
  <si>
    <t xml:space="preserve">2022 Strategic Tech Fund, 2023 NIAS, 2024 Industry-Oriented Fund</t>
  </si>
  <si>
    <t xml:space="preserve">AI and data science 2022 and 2023; AI and robotics 2024; AI 2025 and 2026</t>
  </si>
  <si>
    <t xml:space="preserve">2024 Industry-Oriented Fund only</t>
  </si>
  <si>
    <t xml:space="preserve">2022, 2023, 2024 (and the 2024 New Energy Transport Fund)</t>
  </si>
  <si>
    <t xml:space="preserve">2023 Film Development Fund and CreateSmart</t>
  </si>
  <si>
    <t xml:space="preserve">2025 special call, already allocated</t>
  </si>
  <si>
    <t xml:space="preserve">2026 CITF, already injected</t>
  </si>
  <si>
    <t xml:space="preserve">Industry flags: B marker from HKEX; every other industry is a name screen on the company name and is a lower bound.</t>
  </si>
  <si>
    <t xml:space="preserve">Share = this row's funds / the Main Board total of the same window, both from the New Listing Reports.</t>
  </si>
  <si>
    <t xml:space="preserve">main_board_hkd_million</t>
  </si>
  <si>
    <t xml:space="preserve">addresses_delivered</t>
  </si>
  <si>
    <t xml:space="preserve">none</t>
  </si>
  <si>
    <t xml:space="preserve">2022-10-19</t>
  </si>
  <si>
    <t xml:space="preserve">2023-10-25</t>
  </si>
  <si>
    <t xml:space="preserve">2024-10-16</t>
  </si>
  <si>
    <t xml:space="preserve">2025-09-17</t>
  </si>
  <si>
    <t xml:space="preserve">2026-09-16</t>
  </si>
  <si>
    <t xml:space="preserve">2026 runs to 29 September. HK$ million. Name-screen columns are lower bounds.</t>
  </si>
  <si>
    <t xml:space="preserve">industry_trainee_reading</t>
  </si>
  <si>
    <t xml:space="preserve">basis</t>
  </si>
  <si>
    <t xml:space="preserve">Battery maker. Named among the largest 2025 IPOs in the Listing Committee Report 2025, p.2, without an industry.</t>
  </si>
  <si>
    <t xml:space="preserve">GPU designer. Chapter 18C, HKEX 18C Explained.</t>
  </si>
  <si>
    <t xml:space="preserve">Gallium-nitride chip maker.</t>
  </si>
  <si>
    <t xml:space="preserve">Automotive AI chip designer. Chapter 18C, HKEX 18C Explained.</t>
  </si>
  <si>
    <t xml:space="preserve">AI model developer. Chapter 18C, P marker in the NLR.</t>
  </si>
  <si>
    <t xml:space="preserve">AI model developer. Chapter 18C, HKEX 18C Explained.</t>
  </si>
  <si>
    <t xml:space="preserve">Autonomous driving. Chapter 18C, HKEX 18C Explained.</t>
  </si>
  <si>
    <t xml:space="preserve">Lidar maker. Named as a homecoming listing in the Listing Committee Report 2025, p.2.</t>
  </si>
  <si>
    <t xml:space="preserve">Not added to Industry_windows. HKEX does not state these industries in the New Listing Reports.</t>
  </si>
  <si>
    <t xml:space="preserve">topic</t>
  </si>
  <si>
    <t xml:space="preserve">source</t>
  </si>
  <si>
    <t xml:space="preserve">figure</t>
  </si>
  <si>
    <t xml:space="preserve">2022 IPO funds</t>
  </si>
  <si>
    <t xml:space="preserve">Market Statistics 2022, p.3, Main Board and GEM</t>
  </si>
  <si>
    <t xml:space="preserve">HK$104,570.3 million</t>
  </si>
  <si>
    <t xml:space="preserve">New Listing Report 2022, Main Board rows summed</t>
  </si>
  <si>
    <t xml:space="preserve">90 IPOs, HK$104,622.4 million</t>
  </si>
  <si>
    <t xml:space="preserve">2023 IPO funds</t>
  </si>
  <si>
    <t xml:space="preserve">Market Statistics 2023, p.3, Main Board and GEM</t>
  </si>
  <si>
    <t xml:space="preserve">HK$46,294.9 million</t>
  </si>
  <si>
    <t xml:space="preserve">New Listing Report 2023, Main Board rows summed</t>
  </si>
  <si>
    <t xml:space="preserve">73 IPOs, HK$46,321.2 million</t>
  </si>
  <si>
    <t xml:space="preserve">2024 IPO funds</t>
  </si>
  <si>
    <t xml:space="preserve">Market Statistics 2024, p.3, Main Board and GEM</t>
  </si>
  <si>
    <t xml:space="preserve">HK$87,477.8 million</t>
  </si>
  <si>
    <t xml:space="preserve">2024 Final Results, p.11</t>
  </si>
  <si>
    <t xml:space="preserve">71 new listings, HK$88.0 billion</t>
  </si>
  <si>
    <t xml:space="preserve">New Listing Report 2024, Main Board rows summed</t>
  </si>
  <si>
    <t xml:space="preserve">68 IPOs, HK$87,740.0 million</t>
  </si>
  <si>
    <t xml:space="preserve">2025 IPO funds</t>
  </si>
  <si>
    <t xml:space="preserve">Listing Committee Report 2025, p.2</t>
  </si>
  <si>
    <t xml:space="preserve">HK$285.8 billion</t>
  </si>
  <si>
    <t xml:space="preserve">2025 Final Results, pp.7 and 11</t>
  </si>
  <si>
    <t xml:space="preserve">HK$286.9 billion, 119 IPOs</t>
  </si>
  <si>
    <t xml:space="preserve">2025 Final Results, p.17</t>
  </si>
  <si>
    <t xml:space="preserve">HK$286.8 billion</t>
  </si>
  <si>
    <t xml:space="preserve">New Listing Report 2025, Main Board rows summed</t>
  </si>
  <si>
    <t xml:space="preserve">118 IPOs, HK$286,836.1 million</t>
  </si>
  <si>
    <t xml:space="preserve">2025 Chapter 18C count</t>
  </si>
  <si>
    <t xml:space="preserve">Listing Committee Report 2025, p.3</t>
  </si>
  <si>
    <t xml:space="preserve">five Specialist Technology Companies by year end</t>
  </si>
  <si>
    <t xml:space="preserve">Listing Committee Report 2025, TECH section</t>
  </si>
  <si>
    <t xml:space="preserve">six Main Board Chapter 18C companies from the launch of TECH on 6 May 2025 to 31 December 2025</t>
  </si>
  <si>
    <t xml:space="preserve">HKEX 18C Explained</t>
  </si>
  <si>
    <t xml:space="preserve">five listings dated 2025</t>
  </si>
  <si>
    <t xml:space="preserve">2025 Chapter 18A count</t>
  </si>
  <si>
    <t xml:space="preserve">16 Biotech Companies</t>
  </si>
  <si>
    <t xml:space="preserve">13 Main Board Chapter 18A companies from 6 May 2025 to 31 December 2025</t>
  </si>
  <si>
    <t xml:space="preserve">New Listing Report 2025, B markers</t>
  </si>
  <si>
    <t xml:space="preserve">16</t>
  </si>
  <si>
    <t xml:space="preserve">2025 combined 18A and 18C funds</t>
  </si>
  <si>
    <t xml:space="preserve">HK$19.8 billion for the 16 and the five together. Not split.</t>
  </si>
  <si>
    <t xml:space="preserve">2024 new economy</t>
  </si>
  <si>
    <t xml:space="preserve">almost 82 per cent of the capital raised. HKEX does not define new economy as the Policy Address list, so this is not used for any industry.</t>
  </si>
  <si>
    <t xml:space="preserve">listing_date</t>
  </si>
  <si>
    <t xml:space="preserve">XtalPi Holdings Ltd.</t>
  </si>
  <si>
    <t xml:space="preserve">2024-06-13</t>
  </si>
  <si>
    <t xml:space="preserve">https://www.hkexgroup.com/Media-Centre/Insight/Insight/2026/HKEX-Insight/18C-Explained?sc_lang=en</t>
  </si>
  <si>
    <t xml:space="preserve">Black Sesame International Holdings Ltd.</t>
  </si>
  <si>
    <t xml:space="preserve">2024-08-08</t>
  </si>
  <si>
    <t xml:space="preserve">Shenzhen Dobot Corp. Ltd.</t>
  </si>
  <si>
    <t xml:space="preserve">2024-12-23</t>
  </si>
  <si>
    <t xml:space="preserve">Beijing Yunji Technology Co., Ltd.</t>
  </si>
  <si>
    <t xml:space="preserve">2025-10-16</t>
  </si>
  <si>
    <t xml:space="preserve">Deepexi Technology Co., Ltd.</t>
  </si>
  <si>
    <t xml:space="preserve">2025-10-28</t>
  </si>
  <si>
    <t xml:space="preserve">WeRide Inc.</t>
  </si>
  <si>
    <t xml:space="preserve">2025-11-06</t>
  </si>
  <si>
    <t xml:space="preserve">CiDi Inc.</t>
  </si>
  <si>
    <t xml:space="preserve">2025-12-19</t>
  </si>
  <si>
    <t xml:space="preserve">Beijing 51World Digital Twin Technology Co., Ltd.</t>
  </si>
  <si>
    <t xml:space="preserve">2025-12-30</t>
  </si>
  <si>
    <t xml:space="preserve">Shanghai Biren Technology Co., Ltd.</t>
  </si>
  <si>
    <t xml:space="preserve">2026-01-02</t>
  </si>
  <si>
    <t xml:space="preserve">Knowledge Atlas Technology JSC Ltd.</t>
  </si>
  <si>
    <t xml:space="preserve">2026-01-08</t>
  </si>
  <si>
    <t xml:space="preserve">MiniMax Group Inc.</t>
  </si>
  <si>
    <t xml:space="preserve">2026-01-09</t>
  </si>
  <si>
    <t xml:space="preserve">Guangdong Huayan Robotics Co., Ltd.</t>
  </si>
  <si>
    <t xml:space="preserve">2026-03-30</t>
  </si>
  <si>
    <t xml:space="preserve">Shandong Extreme Vision Technology Co., Ltd.</t>
  </si>
  <si>
    <t xml:space="preserve">Shanghai FourSemi Semiconductor Co., Ltd.</t>
  </si>
  <si>
    <t xml:space="preserve">2026-03-31</t>
  </si>
  <si>
    <t xml:space="preserve">Page total, HK$ billion, as printed</t>
  </si>
  <si>
    <t xml:space="preserve">Sum of the rows, HK$ million</t>
  </si>
  <si>
    <t xml:space="preserve">c18_listings</t>
  </si>
  <si>
    <t xml:space="preserve">c18_funds_hkd_million</t>
  </si>
  <si>
    <t xml:space="preserve">base_rate_year_end</t>
  </si>
  <si>
    <t xml:space="preserve">southbound_adt_hkd_billion</t>
  </si>
  <si>
    <t xml:space="preserve">board_ipo_hkd_million</t>
  </si>
  <si>
    <t xml:space="preserve">c18_share_of_board_ipo</t>
  </si>
  <si>
    <t xml:space="preserve">nlr_b_marker_ipos</t>
  </si>
  <si>
    <t xml:space="preserve">Before Chapter 18C. Base Rate end-2022. Southbound ADT. IPO from Market Statistics 2022.</t>
  </si>
  <si>
    <t xml:space="preserve">Chapter effective 31 Mar 2023. No 18C listing this year. Base Rate end-2023 was 5.75%.</t>
  </si>
  <si>
    <t xml:space="preserve">Three 18C listings. Base Rate cut from 5.75% to 4.75%. Southbound ADT HK$48.2 billion.</t>
  </si>
  <si>
    <t xml:space="preserve">Five 18C listings. Base Rate cut from 4.75% to 4.00%. Southbound ADT HK$121.1 billion. Board IPO is the Listing Committee figure.</t>
  </si>
  <si>
    <t xml:space="preserve">Listings through 31 Mar 2026 only. A full-year Base Rate, Southbound ADT and board IPO are not stated in source.</t>
  </si>
  <si>
    <t xml:space="preserve">Chapter 18C effective 31 March 2023. First listing 13 June 2024. 2026 B-marker IPOs run to 29 September.</t>
  </si>
  <si>
    <t xml:space="preserve">The I&amp;T Industry-Oriented Fund has no disbursement date in the 2026 Policy Address. It is not in this table.</t>
  </si>
  <si>
    <t xml:space="preserve">2022 Base Rate: HKMA Annual Report 2022. 2023 and 2024: HKMA Annual Report 2024. 2025: HKMA Annual Report 2025.</t>
  </si>
  <si>
    <t xml:space="preserve">Southbound ADT: HKEX Stock Connect 2025 Review, February 2026.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</si>
</sst>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yyyy\-mm\-dd"/>
    <numFmt numFmtId="167" formatCode="General"/>
    <numFmt numFmtId="168" formatCode="0.0%"/>
    <numFmt numFmtId="169" formatCode="#,##0"/>
    <numFmt numFmtId="170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3A9CE"/>
      <rgbColor rgb="FFAB4744"/>
      <rgbColor rgb="FFFFFFCC"/>
      <rgbColor rgb="FFCCFF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D09493"/>
      <rgbColor rgb="FFCC99FF"/>
      <rgbColor rgb="FFFFCC99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Main Board IPO funds by policy industry and listing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Industry_by_year!B1</c:f>
              <c:strCache>
                <c:ptCount val="1"/>
                <c:pt idx="0">
                  <c:v>Chapter 18A biotech (B marker)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Industry_by_year!$B$2:$B$7</c:f>
              <c:numCache>
                <c:formatCode>#,##0</c:formatCode>
                <c:ptCount val="6"/>
                <c:pt idx="0">
                  <c:v>37806.074</c:v>
                </c:pt>
                <c:pt idx="1">
                  <c:v>3602.5691</c:v>
                </c:pt>
                <c:pt idx="2">
                  <c:v>3964.6276</c:v>
                </c:pt>
                <c:pt idx="3">
                  <c:v>1512.324</c:v>
                </c:pt>
                <c:pt idx="4">
                  <c:v>13771.3515</c:v>
                </c:pt>
                <c:pt idx="5">
                  <c:v>12883.0297</c:v>
                </c:pt>
              </c:numCache>
            </c:numRef>
          </c:val>
        </c:ser>
        <c:ser>
          <c:idx val="1"/>
          <c:order val="1"/>
          <c:tx>
            <c:strRef>
              <c:f>Industry_by_year!C1</c:f>
              <c:strCache>
                <c:ptCount val="1"/>
                <c:pt idx="0">
                  <c:v>Life and health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Industry_by_year!$C$2:$C$7</c:f>
              <c:numCache>
                <c:formatCode>#,##0</c:formatCode>
                <c:ptCount val="6"/>
                <c:pt idx="0">
                  <c:v>44185.9129</c:v>
                </c:pt>
                <c:pt idx="1">
                  <c:v>6992.717</c:v>
                </c:pt>
                <c:pt idx="2">
                  <c:v>5473.0383</c:v>
                </c:pt>
                <c:pt idx="3">
                  <c:v>4787.5403</c:v>
                </c:pt>
                <c:pt idx="4">
                  <c:v>31146.0416</c:v>
                </c:pt>
                <c:pt idx="5">
                  <c:v>19101.272</c:v>
                </c:pt>
              </c:numCache>
            </c:numRef>
          </c:val>
        </c:ser>
        <c:ser>
          <c:idx val="2"/>
          <c:order val="2"/>
          <c:tx>
            <c:strRef>
              <c:f>Industry_by_year!D1</c:f>
              <c:strCache>
                <c:ptCount val="1"/>
                <c:pt idx="0">
                  <c:v>AI and robotics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Industry_by_year!$D$2:$D$7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1041.6735</c:v>
                </c:pt>
                <c:pt idx="3">
                  <c:v>7146.2939</c:v>
                </c:pt>
                <c:pt idx="4">
                  <c:v>8087.5477</c:v>
                </c:pt>
                <c:pt idx="5">
                  <c:v>12249.966</c:v>
                </c:pt>
              </c:numCache>
            </c:numRef>
          </c:val>
        </c:ser>
        <c:ser>
          <c:idx val="3"/>
          <c:order val="3"/>
          <c:tx>
            <c:strRef>
              <c:f>Industry_by_year!E1</c:f>
              <c:strCache>
                <c:ptCount val="1"/>
                <c:pt idx="0">
                  <c:v>Semi-conductors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Industry_by_year!$E$2:$E$7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4075.109</c:v>
                </c:pt>
                <c:pt idx="5">
                  <c:v>35908.3333</c:v>
                </c:pt>
              </c:numCache>
            </c:numRef>
          </c:val>
        </c:ser>
        <c:ser>
          <c:idx val="4"/>
          <c:order val="4"/>
          <c:tx>
            <c:strRef>
              <c:f>Industry_by_year!F1</c:f>
              <c:strCache>
                <c:ptCount val="1"/>
                <c:pt idx="0">
                  <c:v>New energy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Industry_by_year!$F$2:$F$7</c:f>
              <c:numCache>
                <c:formatCode>#,##0</c:formatCode>
                <c:ptCount val="6"/>
                <c:pt idx="0">
                  <c:v>0</c:v>
                </c:pt>
                <c:pt idx="1">
                  <c:v>13458.0204</c:v>
                </c:pt>
                <c:pt idx="2">
                  <c:v>3687.4479</c:v>
                </c:pt>
                <c:pt idx="3">
                  <c:v>390</c:v>
                </c:pt>
                <c:pt idx="4">
                  <c:v>2410.0264</c:v>
                </c:pt>
                <c:pt idx="5">
                  <c:v>5060.7296</c:v>
                </c:pt>
              </c:numCache>
            </c:numRef>
          </c:val>
        </c:ser>
        <c:ser>
          <c:idx val="5"/>
          <c:order val="5"/>
          <c:tx>
            <c:strRef>
              <c:f>Industry_by_year!G1</c:f>
              <c:strCache>
                <c:ptCount val="1"/>
                <c:pt idx="0">
                  <c:v>Film and creative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Industry_by_year!$G$2:$G$7</c:f>
              <c:numCache>
                <c:formatCode>#,##0</c:formatCode>
                <c:ptCount val="6"/>
                <c:pt idx="0">
                  <c:v>1121.0044</c:v>
                </c:pt>
                <c:pt idx="1">
                  <c:v>420.1156</c:v>
                </c:pt>
                <c:pt idx="2">
                  <c:v>635.2744</c:v>
                </c:pt>
                <c:pt idx="3">
                  <c:v>0</c:v>
                </c:pt>
                <c:pt idx="4">
                  <c:v>0</c:v>
                </c:pt>
                <c:pt idx="5">
                  <c:v>444.408</c:v>
                </c:pt>
              </c:numCache>
            </c:numRef>
          </c:val>
        </c:ser>
        <c:ser>
          <c:idx val="6"/>
          <c:order val="6"/>
          <c:tx>
            <c:strRef>
              <c:f>Industry_by_year!H1</c:f>
              <c:strCache>
                <c:ptCount val="1"/>
                <c:pt idx="0">
                  <c:v>Aerospace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Industry_by_year!$H$2:$H$7</c:f>
              <c:numCache>
                <c:formatCode>#,##0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1513.2012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7"/>
          <c:order val="7"/>
          <c:tx>
            <c:strRef>
              <c:f>Industry_by_year!I1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Industry_by_year!$A$2:$A$7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</c:strCache>
            </c:strRef>
          </c:cat>
          <c:val>
            <c:numRef>
              <c:f>Industry_by_year!$I$2:$I$7</c:f>
              <c:numCache>
                <c:formatCode>#,##0</c:formatCode>
                <c:ptCount val="6"/>
                <c:pt idx="0">
                  <c:v>135</c:v>
                </c:pt>
                <c:pt idx="1">
                  <c:v>125</c:v>
                </c:pt>
                <c:pt idx="2">
                  <c:v>1790.0169</c:v>
                </c:pt>
                <c:pt idx="3">
                  <c:v>317.375</c:v>
                </c:pt>
                <c:pt idx="4">
                  <c:v>174.66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2995849"/>
        <c:axId val="80425859"/>
      </c:barChart>
      <c:catAx>
        <c:axId val="29958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Listing year (address delivered Sep or Oct of 2022 to 2026)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425859"/>
        <c:crosses val="autoZero"/>
        <c:auto val="1"/>
        <c:lblAlgn val="ctr"/>
        <c:lblOffset val="100"/>
        <c:noMultiLvlLbl val="0"/>
      </c:catAx>
      <c:valAx>
        <c:axId val="8042585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HK$ million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584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10</xdr:row>
      <xdr:rowOff>0</xdr:rowOff>
    </xdr:from>
    <xdr:to>
      <xdr:col>6</xdr:col>
      <xdr:colOff>558720</xdr:colOff>
      <xdr:row>27</xdr:row>
      <xdr:rowOff>1080</xdr:rowOff>
    </xdr:to>
    <xdr:graphicFrame>
      <xdr:nvGraphicFramePr>
        <xdr:cNvPr id="0" name="Chart 1"/>
        <xdr:cNvGraphicFramePr/>
      </xdr:nvGraphicFramePr>
      <xdr:xfrm>
        <a:off x="0" y="21146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36"/>
    <col collapsed="false" customWidth="true" hidden="false" outlineLevel="0" max="8" min="8" style="0" width="55"/>
    <col collapsed="false" customWidth="true" hidden="false" outlineLevel="0" max="9" min="9" style="0" width="32"/>
    <col collapsed="false" customWidth="true" hidden="false" outlineLevel="0" max="10" min="10" style="0" width="60"/>
  </cols>
  <sheetData>
    <row r="1" customFormat="false" ht="21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2022</v>
      </c>
      <c r="B2" s="2" t="s">
        <v>10</v>
      </c>
      <c r="C2" s="2" t="s">
        <v>11</v>
      </c>
      <c r="D2" s="2" t="n">
        <v>30</v>
      </c>
      <c r="E2" s="2" t="s">
        <v>12</v>
      </c>
      <c r="F2" s="3" t="n">
        <f aca="false">IF(E2="HK$ billion",D2*1000,IF(E2="HK$ million",D2,IF(E2="億元",D2*100,"")))</f>
        <v>30000</v>
      </c>
      <c r="G2" s="2" t="s">
        <v>13</v>
      </c>
      <c r="H2" s="4" t="s">
        <v>14</v>
      </c>
      <c r="I2" s="2" t="s">
        <v>15</v>
      </c>
      <c r="J2" s="2" t="s">
        <v>16</v>
      </c>
    </row>
    <row r="3" customFormat="false" ht="26.85" hidden="false" customHeight="false" outlineLevel="0" collapsed="false">
      <c r="A3" s="2" t="n">
        <v>2022</v>
      </c>
      <c r="B3" s="2" t="s">
        <v>10</v>
      </c>
      <c r="C3" s="2" t="s">
        <v>17</v>
      </c>
      <c r="D3" s="2" t="n">
        <v>10</v>
      </c>
      <c r="E3" s="2" t="s">
        <v>12</v>
      </c>
      <c r="F3" s="3" t="n">
        <f aca="false">IF(E3="HK$ billion",D3*1000,IF(E3="HK$ million",D3,IF(E3="億元",D3*100,"")))</f>
        <v>10000</v>
      </c>
      <c r="G3" s="2" t="s">
        <v>13</v>
      </c>
      <c r="H3" s="4" t="s">
        <v>18</v>
      </c>
      <c r="I3" s="2" t="s">
        <v>15</v>
      </c>
      <c r="J3" s="2" t="s">
        <v>19</v>
      </c>
    </row>
    <row r="4" customFormat="false" ht="26.85" hidden="false" customHeight="false" outlineLevel="0" collapsed="false">
      <c r="A4" s="2" t="n">
        <v>2022</v>
      </c>
      <c r="B4" s="2" t="s">
        <v>10</v>
      </c>
      <c r="C4" s="2" t="s">
        <v>20</v>
      </c>
      <c r="D4" s="2" t="n">
        <v>5</v>
      </c>
      <c r="E4" s="2" t="s">
        <v>12</v>
      </c>
      <c r="F4" s="3" t="n">
        <f aca="false">IF(E4="HK$ billion",D4*1000,IF(E4="HK$ million",D4,IF(E4="億元",D4*100,"")))</f>
        <v>5000</v>
      </c>
      <c r="G4" s="2" t="s">
        <v>13</v>
      </c>
      <c r="H4" s="4" t="s">
        <v>21</v>
      </c>
      <c r="I4" s="2" t="s">
        <v>22</v>
      </c>
      <c r="J4" s="2" t="s">
        <v>23</v>
      </c>
    </row>
    <row r="5" customFormat="false" ht="26.85" hidden="false" customHeight="false" outlineLevel="0" collapsed="false">
      <c r="A5" s="2" t="n">
        <v>2023</v>
      </c>
      <c r="B5" s="2" t="s">
        <v>10</v>
      </c>
      <c r="C5" s="2" t="s">
        <v>24</v>
      </c>
      <c r="D5" s="2" t="n">
        <v>10</v>
      </c>
      <c r="E5" s="2" t="s">
        <v>12</v>
      </c>
      <c r="F5" s="3" t="n">
        <f aca="false">IF(E5="HK$ billion",D5*1000,IF(E5="HK$ million",D5,IF(E5="億元",D5*100,"")))</f>
        <v>10000</v>
      </c>
      <c r="G5" s="2" t="s">
        <v>25</v>
      </c>
      <c r="H5" s="4" t="s">
        <v>26</v>
      </c>
      <c r="I5" s="2" t="s">
        <v>15</v>
      </c>
      <c r="J5" s="2" t="s">
        <v>27</v>
      </c>
    </row>
    <row r="6" customFormat="false" ht="15" hidden="false" customHeight="false" outlineLevel="0" collapsed="false">
      <c r="A6" s="2" t="n">
        <v>2023</v>
      </c>
      <c r="B6" s="2" t="s">
        <v>10</v>
      </c>
      <c r="C6" s="2" t="s">
        <v>28</v>
      </c>
      <c r="D6" s="2" t="n">
        <v>4.3</v>
      </c>
      <c r="E6" s="2" t="s">
        <v>12</v>
      </c>
      <c r="F6" s="3" t="n">
        <f aca="false">IF(E6="HK$ billion",D6*1000,IF(E6="HK$ million",D6,IF(E6="億元",D6*100,"")))</f>
        <v>4300</v>
      </c>
      <c r="G6" s="2" t="s">
        <v>25</v>
      </c>
      <c r="H6" s="4" t="s">
        <v>29</v>
      </c>
      <c r="I6" s="2" t="s">
        <v>15</v>
      </c>
      <c r="J6" s="2" t="s">
        <v>30</v>
      </c>
    </row>
    <row r="7" customFormat="false" ht="15" hidden="false" customHeight="false" outlineLevel="0" collapsed="false">
      <c r="A7" s="2" t="n">
        <v>2024</v>
      </c>
      <c r="B7" s="2" t="s">
        <v>10</v>
      </c>
      <c r="C7" s="2" t="s">
        <v>31</v>
      </c>
      <c r="D7" s="2" t="n">
        <v>1.5</v>
      </c>
      <c r="E7" s="2" t="s">
        <v>12</v>
      </c>
      <c r="F7" s="3" t="n">
        <f aca="false">IF(E7="HK$ billion",D7*1000,IF(E7="HK$ million",D7,IF(E7="億元",D7*100,"")))</f>
        <v>1500</v>
      </c>
      <c r="G7" s="2" t="s">
        <v>32</v>
      </c>
      <c r="H7" s="4" t="s">
        <v>33</v>
      </c>
      <c r="I7" s="2" t="s">
        <v>15</v>
      </c>
      <c r="J7" s="2" t="s">
        <v>34</v>
      </c>
    </row>
    <row r="8" customFormat="false" ht="26.85" hidden="false" customHeight="false" outlineLevel="0" collapsed="false">
      <c r="A8" s="2" t="n">
        <v>2024</v>
      </c>
      <c r="B8" s="2" t="s">
        <v>10</v>
      </c>
      <c r="C8" s="2" t="s">
        <v>35</v>
      </c>
      <c r="D8" s="2" t="n">
        <v>10</v>
      </c>
      <c r="E8" s="2" t="s">
        <v>12</v>
      </c>
      <c r="F8" s="3" t="n">
        <f aca="false">IF(E8="HK$ billion",D8*1000,IF(E8="HK$ million",D8,IF(E8="億元",D8*100,"")))</f>
        <v>10000</v>
      </c>
      <c r="G8" s="2" t="s">
        <v>32</v>
      </c>
      <c r="H8" s="4" t="s">
        <v>36</v>
      </c>
      <c r="I8" s="2" t="s">
        <v>15</v>
      </c>
      <c r="J8" s="2" t="s">
        <v>37</v>
      </c>
    </row>
    <row r="9" customFormat="false" ht="26.85" hidden="false" customHeight="false" outlineLevel="0" collapsed="false">
      <c r="A9" s="2" t="n">
        <v>2024</v>
      </c>
      <c r="B9" s="2" t="s">
        <v>10</v>
      </c>
      <c r="C9" s="2" t="s">
        <v>38</v>
      </c>
      <c r="D9" s="2" t="n">
        <v>1.5</v>
      </c>
      <c r="E9" s="2" t="s">
        <v>12</v>
      </c>
      <c r="F9" s="3" t="n">
        <f aca="false">IF(E9="HK$ billion",D9*1000,IF(E9="HK$ million",D9,IF(E9="億元",D9*100,"")))</f>
        <v>1500</v>
      </c>
      <c r="G9" s="2" t="s">
        <v>32</v>
      </c>
      <c r="H9" s="4" t="s">
        <v>39</v>
      </c>
      <c r="I9" s="2" t="s">
        <v>15</v>
      </c>
      <c r="J9" s="2" t="s">
        <v>40</v>
      </c>
    </row>
    <row r="10" customFormat="false" ht="15" hidden="false" customHeight="false" outlineLevel="0" collapsed="false">
      <c r="A10" s="2" t="n">
        <v>2024</v>
      </c>
      <c r="B10" s="2" t="s">
        <v>10</v>
      </c>
      <c r="C10" s="2" t="s">
        <v>41</v>
      </c>
      <c r="D10" s="2" t="n">
        <v>180</v>
      </c>
      <c r="E10" s="2" t="s">
        <v>42</v>
      </c>
      <c r="F10" s="3" t="n">
        <f aca="false">IF(E10="HK$ billion",D10*1000,IF(E10="HK$ million",D10,IF(E10="億元",D10*100,"")))</f>
        <v>180</v>
      </c>
      <c r="G10" s="2" t="s">
        <v>32</v>
      </c>
      <c r="H10" s="4" t="s">
        <v>43</v>
      </c>
      <c r="I10" s="2" t="s">
        <v>15</v>
      </c>
      <c r="J10" s="2" t="s">
        <v>44</v>
      </c>
    </row>
    <row r="11" customFormat="false" ht="15" hidden="false" customHeight="false" outlineLevel="0" collapsed="false">
      <c r="A11" s="2" t="n">
        <v>2024</v>
      </c>
      <c r="B11" s="2" t="s">
        <v>10</v>
      </c>
      <c r="C11" s="2" t="s">
        <v>45</v>
      </c>
      <c r="D11" s="2" t="n">
        <v>750</v>
      </c>
      <c r="E11" s="2" t="s">
        <v>42</v>
      </c>
      <c r="F11" s="3" t="n">
        <f aca="false">IF(E11="HK$ billion",D11*1000,IF(E11="HK$ million",D11,IF(E11="億元",D11*100,"")))</f>
        <v>750</v>
      </c>
      <c r="G11" s="2" t="s">
        <v>32</v>
      </c>
      <c r="H11" s="4" t="s">
        <v>46</v>
      </c>
      <c r="I11" s="2" t="s">
        <v>15</v>
      </c>
      <c r="J11" s="2" t="s">
        <v>47</v>
      </c>
    </row>
    <row r="12" customFormat="false" ht="15" hidden="false" customHeight="false" outlineLevel="0" collapsed="false">
      <c r="A12" s="2" t="n">
        <v>2025</v>
      </c>
      <c r="B12" s="2" t="s">
        <v>10</v>
      </c>
      <c r="C12" s="2" t="s">
        <v>48</v>
      </c>
      <c r="D12" s="2" t="n">
        <v>3</v>
      </c>
      <c r="E12" s="2" t="s">
        <v>12</v>
      </c>
      <c r="F12" s="3" t="n">
        <f aca="false">IF(E12="HK$ billion",D12*1000,IF(E12="HK$ million",D12,IF(E12="億元",D12*100,"")))</f>
        <v>3000</v>
      </c>
      <c r="G12" s="2" t="s">
        <v>49</v>
      </c>
      <c r="H12" s="4" t="s">
        <v>50</v>
      </c>
      <c r="I12" s="2" t="s">
        <v>22</v>
      </c>
      <c r="J12" s="2" t="s">
        <v>51</v>
      </c>
    </row>
    <row r="13" customFormat="false" ht="15" hidden="false" customHeight="false" outlineLevel="0" collapsed="false">
      <c r="A13" s="2" t="n">
        <v>2025</v>
      </c>
      <c r="B13" s="2" t="s">
        <v>10</v>
      </c>
      <c r="C13" s="2" t="s">
        <v>52</v>
      </c>
      <c r="D13" s="2" t="n">
        <v>1</v>
      </c>
      <c r="E13" s="2" t="s">
        <v>12</v>
      </c>
      <c r="F13" s="3" t="n">
        <f aca="false">IF(E13="HK$ billion",D13*1000,IF(E13="HK$ million",D13,IF(E13="億元",D13*100,"")))</f>
        <v>1000</v>
      </c>
      <c r="G13" s="2" t="s">
        <v>49</v>
      </c>
      <c r="H13" s="4" t="s">
        <v>53</v>
      </c>
      <c r="I13" s="2" t="s">
        <v>22</v>
      </c>
      <c r="J13" s="2" t="s">
        <v>54</v>
      </c>
    </row>
    <row r="14" customFormat="false" ht="26.85" hidden="false" customHeight="false" outlineLevel="0" collapsed="false">
      <c r="A14" s="2" t="n">
        <v>2025</v>
      </c>
      <c r="B14" s="2" t="s">
        <v>10</v>
      </c>
      <c r="C14" s="2" t="s">
        <v>55</v>
      </c>
      <c r="D14" s="2" t="n">
        <v>100</v>
      </c>
      <c r="E14" s="2" t="s">
        <v>42</v>
      </c>
      <c r="F14" s="3" t="n">
        <f aca="false">IF(E14="HK$ billion",D14*1000,IF(E14="HK$ million",D14,IF(E14="億元",D14*100,"")))</f>
        <v>100</v>
      </c>
      <c r="G14" s="2" t="s">
        <v>49</v>
      </c>
      <c r="H14" s="4" t="s">
        <v>56</v>
      </c>
      <c r="I14" s="2" t="s">
        <v>22</v>
      </c>
      <c r="J14" s="2" t="s">
        <v>57</v>
      </c>
    </row>
    <row r="15" customFormat="false" ht="26.85" hidden="false" customHeight="false" outlineLevel="0" collapsed="false">
      <c r="A15" s="2" t="n">
        <v>2026</v>
      </c>
      <c r="B15" s="2" t="s">
        <v>10</v>
      </c>
      <c r="C15" s="2" t="s">
        <v>58</v>
      </c>
      <c r="D15" s="2" t="n">
        <v>1</v>
      </c>
      <c r="E15" s="2" t="s">
        <v>12</v>
      </c>
      <c r="F15" s="3" t="n">
        <f aca="false">IF(E15="HK$ billion",D15*1000,IF(E15="HK$ million",D15,IF(E15="億元",D15*100,"")))</f>
        <v>1000</v>
      </c>
      <c r="G15" s="2" t="s">
        <v>59</v>
      </c>
      <c r="H15" s="4" t="s">
        <v>60</v>
      </c>
      <c r="I15" s="2" t="s">
        <v>22</v>
      </c>
      <c r="J15" s="2" t="s">
        <v>61</v>
      </c>
    </row>
    <row r="16" customFormat="false" ht="15" hidden="false" customHeight="false" outlineLevel="0" collapsed="false">
      <c r="A16" s="2" t="n">
        <v>2026</v>
      </c>
      <c r="B16" s="2" t="s">
        <v>10</v>
      </c>
      <c r="C16" s="2" t="s">
        <v>62</v>
      </c>
      <c r="D16" s="2" t="n">
        <v>1</v>
      </c>
      <c r="E16" s="2" t="s">
        <v>12</v>
      </c>
      <c r="F16" s="3" t="n">
        <f aca="false">IF(E16="HK$ billion",D16*1000,IF(E16="HK$ million",D16,IF(E16="億元",D16*100,"")))</f>
        <v>1000</v>
      </c>
      <c r="G16" s="2" t="s">
        <v>59</v>
      </c>
      <c r="H16" s="4" t="s">
        <v>63</v>
      </c>
      <c r="I16" s="2" t="s">
        <v>15</v>
      </c>
      <c r="J16" s="2" t="s">
        <v>64</v>
      </c>
    </row>
    <row r="17" customFormat="false" ht="15" hidden="false" customHeight="false" outlineLevel="0" collapsed="false">
      <c r="A17" s="2" t="n">
        <v>2026</v>
      </c>
      <c r="B17" s="2" t="s">
        <v>10</v>
      </c>
      <c r="C17" s="2" t="s">
        <v>65</v>
      </c>
      <c r="D17" s="2" t="n">
        <v>300</v>
      </c>
      <c r="E17" s="2" t="s">
        <v>42</v>
      </c>
      <c r="F17" s="3" t="n">
        <f aca="false">IF(E17="HK$ billion",D17*1000,IF(E17="HK$ million",D17,IF(E17="億元",D17*100,"")))</f>
        <v>300</v>
      </c>
      <c r="G17" s="2" t="s">
        <v>59</v>
      </c>
      <c r="H17" s="4" t="s">
        <v>66</v>
      </c>
      <c r="I17" s="2" t="s">
        <v>15</v>
      </c>
      <c r="J17" s="2" t="s">
        <v>67</v>
      </c>
    </row>
    <row r="18" customFormat="false" ht="26.85" hidden="false" customHeight="false" outlineLevel="0" collapsed="false">
      <c r="A18" s="2" t="n">
        <v>2026</v>
      </c>
      <c r="B18" s="2" t="s">
        <v>10</v>
      </c>
      <c r="C18" s="2" t="s">
        <v>68</v>
      </c>
      <c r="D18" s="2" t="n">
        <v>1</v>
      </c>
      <c r="E18" s="2" t="s">
        <v>12</v>
      </c>
      <c r="F18" s="3" t="n">
        <f aca="false">IF(E18="HK$ billion",D18*1000,IF(E18="HK$ million",D18,IF(E18="億元",D18*100,"")))</f>
        <v>1000</v>
      </c>
      <c r="G18" s="2" t="s">
        <v>59</v>
      </c>
      <c r="H18" s="4" t="s">
        <v>69</v>
      </c>
      <c r="I18" s="2" t="s">
        <v>22</v>
      </c>
      <c r="J18" s="2" t="s">
        <v>70</v>
      </c>
    </row>
    <row r="19" customFormat="false" ht="26.85" hidden="false" customHeight="false" outlineLevel="0" collapsed="false">
      <c r="A19" s="2" t="n">
        <v>2023</v>
      </c>
      <c r="B19" s="2" t="s">
        <v>71</v>
      </c>
      <c r="C19" s="2" t="s">
        <v>72</v>
      </c>
      <c r="D19" s="2" t="n">
        <v>46294.9</v>
      </c>
      <c r="E19" s="2" t="s">
        <v>42</v>
      </c>
      <c r="F19" s="3" t="n">
        <f aca="false">IF(E19="HK$ billion",D19*1000,IF(E19="HK$ million",D19,IF(E19="億元",D19*100,"")))</f>
        <v>46294.9</v>
      </c>
      <c r="G19" s="2" t="s">
        <v>73</v>
      </c>
      <c r="H19" s="4" t="s">
        <v>74</v>
      </c>
      <c r="I19" s="2"/>
      <c r="J19" s="2"/>
    </row>
    <row r="20" customFormat="false" ht="26.85" hidden="false" customHeight="false" outlineLevel="0" collapsed="false">
      <c r="A20" s="2" t="n">
        <v>2023</v>
      </c>
      <c r="B20" s="2" t="s">
        <v>75</v>
      </c>
      <c r="C20" s="2" t="s">
        <v>76</v>
      </c>
      <c r="D20" s="2" t="n">
        <v>105012</v>
      </c>
      <c r="E20" s="2" t="s">
        <v>42</v>
      </c>
      <c r="F20" s="3" t="n">
        <f aca="false">IF(E20="HK$ billion",D20*1000,IF(E20="HK$ million",D20,IF(E20="億元",D20*100,"")))</f>
        <v>105012</v>
      </c>
      <c r="G20" s="2" t="s">
        <v>73</v>
      </c>
      <c r="H20" s="4" t="s">
        <v>77</v>
      </c>
      <c r="I20" s="2"/>
      <c r="J20" s="2"/>
    </row>
    <row r="21" customFormat="false" ht="26.85" hidden="false" customHeight="false" outlineLevel="0" collapsed="false">
      <c r="A21" s="2" t="n">
        <v>2024</v>
      </c>
      <c r="B21" s="2" t="s">
        <v>71</v>
      </c>
      <c r="C21" s="2" t="s">
        <v>72</v>
      </c>
      <c r="D21" s="2" t="n">
        <v>87477.8</v>
      </c>
      <c r="E21" s="2" t="s">
        <v>42</v>
      </c>
      <c r="F21" s="3" t="n">
        <f aca="false">IF(E21="HK$ billion",D21*1000,IF(E21="HK$ million",D21,IF(E21="億元",D21*100,"")))</f>
        <v>87477.8</v>
      </c>
      <c r="G21" s="2" t="s">
        <v>78</v>
      </c>
      <c r="H21" s="4" t="s">
        <v>79</v>
      </c>
      <c r="I21" s="2"/>
      <c r="J21" s="2"/>
    </row>
    <row r="22" customFormat="false" ht="26.85" hidden="false" customHeight="false" outlineLevel="0" collapsed="false">
      <c r="A22" s="2" t="n">
        <v>2024</v>
      </c>
      <c r="B22" s="2" t="s">
        <v>75</v>
      </c>
      <c r="C22" s="2" t="s">
        <v>76</v>
      </c>
      <c r="D22" s="2" t="n">
        <v>131825</v>
      </c>
      <c r="E22" s="2" t="s">
        <v>42</v>
      </c>
      <c r="F22" s="3" t="n">
        <f aca="false">IF(E22="HK$ billion",D22*1000,IF(E22="HK$ million",D22,IF(E22="億元",D22*100,"")))</f>
        <v>131825</v>
      </c>
      <c r="G22" s="2" t="s">
        <v>78</v>
      </c>
      <c r="H22" s="4" t="s">
        <v>80</v>
      </c>
      <c r="I22" s="2"/>
      <c r="J22" s="2"/>
    </row>
    <row r="23" customFormat="false" ht="26.85" hidden="false" customHeight="false" outlineLevel="0" collapsed="false">
      <c r="A23" s="2" t="n">
        <v>2025</v>
      </c>
      <c r="B23" s="2" t="s">
        <v>71</v>
      </c>
      <c r="C23" s="2" t="s">
        <v>72</v>
      </c>
      <c r="D23" s="2" t="n">
        <v>286.9</v>
      </c>
      <c r="E23" s="2" t="s">
        <v>12</v>
      </c>
      <c r="F23" s="3" t="n">
        <f aca="false">IF(E23="HK$ billion",D23*1000,IF(E23="HK$ million",D23,IF(E23="億元",D23*100,"")))</f>
        <v>286900</v>
      </c>
      <c r="G23" s="2" t="s">
        <v>81</v>
      </c>
      <c r="H23" s="4" t="s">
        <v>82</v>
      </c>
      <c r="I23" s="2"/>
      <c r="J23" s="2"/>
    </row>
    <row r="24" customFormat="false" ht="26.85" hidden="false" customHeight="false" outlineLevel="0" collapsed="false">
      <c r="A24" s="2" t="n">
        <v>2025</v>
      </c>
      <c r="B24" s="2" t="s">
        <v>75</v>
      </c>
      <c r="C24" s="2" t="s">
        <v>76</v>
      </c>
      <c r="D24" s="2" t="n">
        <v>249.8</v>
      </c>
      <c r="E24" s="2" t="s">
        <v>12</v>
      </c>
      <c r="F24" s="3" t="n">
        <f aca="false">IF(E24="HK$ billion",D24*1000,IF(E24="HK$ million",D24,IF(E24="億元",D24*100,"")))</f>
        <v>249800</v>
      </c>
      <c r="G24" s="2" t="s">
        <v>81</v>
      </c>
      <c r="H24" s="4" t="s">
        <v>83</v>
      </c>
      <c r="I24" s="2"/>
      <c r="J24" s="2"/>
    </row>
    <row r="25" customFormat="false" ht="39.55" hidden="false" customHeight="false" outlineLevel="0" collapsed="false">
      <c r="A25" s="2" t="n">
        <v>2026</v>
      </c>
      <c r="B25" s="2" t="s">
        <v>71</v>
      </c>
      <c r="C25" s="2" t="s">
        <v>72</v>
      </c>
      <c r="D25" s="2" t="n">
        <v>342.4</v>
      </c>
      <c r="E25" s="2" t="s">
        <v>12</v>
      </c>
      <c r="F25" s="3" t="n">
        <f aca="false">IF(E25="HK$ billion",D25*1000,IF(E25="HK$ million",D25,IF(E25="億元",D25*100,"")))</f>
        <v>342400</v>
      </c>
      <c r="G25" s="2" t="s">
        <v>84</v>
      </c>
      <c r="H25" s="4" t="s">
        <v>85</v>
      </c>
      <c r="I25" s="2"/>
      <c r="J25" s="2"/>
    </row>
    <row r="26" customFormat="false" ht="26.85" hidden="false" customHeight="false" outlineLevel="0" collapsed="false">
      <c r="A26" s="2" t="n">
        <v>2026</v>
      </c>
      <c r="B26" s="2" t="s">
        <v>75</v>
      </c>
      <c r="C26" s="2" t="s">
        <v>76</v>
      </c>
      <c r="D26" s="2" t="n">
        <v>282.5</v>
      </c>
      <c r="E26" s="2" t="s">
        <v>12</v>
      </c>
      <c r="F26" s="3" t="n">
        <f aca="false">IF(E26="HK$ billion",D26*1000,IF(E26="HK$ million",D26,IF(E26="億元",D26*100,"")))</f>
        <v>282500</v>
      </c>
      <c r="G26" s="2" t="s">
        <v>84</v>
      </c>
      <c r="H26" s="4" t="s">
        <v>86</v>
      </c>
      <c r="I26" s="2"/>
      <c r="J26" s="2"/>
    </row>
  </sheetData>
  <autoFilter ref="A1:J2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4" min="3" style="0" width="26"/>
    <col collapsed="false" customWidth="true" hidden="false" outlineLevel="0" max="5" min="5" style="0" width="28"/>
    <col collapsed="false" customWidth="true" hidden="false" outlineLevel="0" max="7" min="6" style="0" width="24"/>
  </cols>
  <sheetData>
    <row r="1" customFormat="false" ht="31.5" hidden="false" customHeight="true" outlineLevel="0" collapsed="false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</row>
    <row r="2" customFormat="false" ht="15" hidden="false" customHeight="false" outlineLevel="0" collapsed="false">
      <c r="A2" s="2" t="n">
        <v>2022</v>
      </c>
      <c r="B2" s="2" t="n">
        <v>2023</v>
      </c>
      <c r="C2" s="2" t="s">
        <v>94</v>
      </c>
      <c r="D2" s="3" t="n">
        <f aca="false">SUMIFS(Inputs!F:F,Inputs!A:A,A2,Inputs!B:B,"funding",Inputs!I:I,"new in this address")</f>
        <v>40000</v>
      </c>
      <c r="E2" s="3" t="n">
        <f aca="false">SUMIFS(Inputs!F:F,Inputs!A:A,A2,Inputs!B:B,"funding",Inputs!I:I,"already in place before this address")</f>
        <v>5000</v>
      </c>
      <c r="F2" s="3" t="n">
        <f aca="false">SUMIFS(Inputs!F:F,Inputs!A:A,B2,Inputs!B:B,"outcome_IPO")</f>
        <v>46294.9</v>
      </c>
      <c r="G2" s="3" t="n">
        <f aca="false">SUMIFS(Inputs!F:F,Inputs!A:A,B2,Inputs!B:B,"outcome_ADT")</f>
        <v>105012</v>
      </c>
    </row>
    <row r="3" customFormat="false" ht="15" hidden="false" customHeight="false" outlineLevel="0" collapsed="false">
      <c r="A3" s="2" t="n">
        <v>2023</v>
      </c>
      <c r="B3" s="2" t="n">
        <v>2024</v>
      </c>
      <c r="C3" s="2" t="s">
        <v>95</v>
      </c>
      <c r="D3" s="3" t="n">
        <f aca="false">SUMIFS(Inputs!F:F,Inputs!A:A,A3,Inputs!B:B,"funding",Inputs!I:I,"new in this address")</f>
        <v>14300</v>
      </c>
      <c r="E3" s="3" t="n">
        <f aca="false">SUMIFS(Inputs!F:F,Inputs!A:A,A3,Inputs!B:B,"funding",Inputs!I:I,"already in place before this address")</f>
        <v>0</v>
      </c>
      <c r="F3" s="3" t="n">
        <f aca="false">SUMIFS(Inputs!F:F,Inputs!A:A,B3,Inputs!B:B,"outcome_IPO")</f>
        <v>87477.8</v>
      </c>
      <c r="G3" s="3" t="n">
        <f aca="false">SUMIFS(Inputs!F:F,Inputs!A:A,B3,Inputs!B:B,"outcome_ADT")</f>
        <v>131825</v>
      </c>
    </row>
    <row r="4" customFormat="false" ht="15" hidden="false" customHeight="false" outlineLevel="0" collapsed="false">
      <c r="A4" s="2" t="n">
        <v>2024</v>
      </c>
      <c r="B4" s="2" t="n">
        <v>2025</v>
      </c>
      <c r="C4" s="2" t="s">
        <v>96</v>
      </c>
      <c r="D4" s="3" t="n">
        <f aca="false">SUMIFS(Inputs!F:F,Inputs!A:A,A4,Inputs!B:B,"funding",Inputs!I:I,"new in this address")</f>
        <v>13930</v>
      </c>
      <c r="E4" s="3" t="n">
        <f aca="false">SUMIFS(Inputs!F:F,Inputs!A:A,A4,Inputs!B:B,"funding",Inputs!I:I,"already in place before this address")</f>
        <v>0</v>
      </c>
      <c r="F4" s="3" t="n">
        <f aca="false">SUMIFS(Inputs!F:F,Inputs!A:A,B4,Inputs!B:B,"outcome_IPO")</f>
        <v>286900</v>
      </c>
      <c r="G4" s="3" t="n">
        <f aca="false">SUMIFS(Inputs!F:F,Inputs!A:A,B4,Inputs!B:B,"outcome_ADT")</f>
        <v>249800</v>
      </c>
    </row>
    <row r="5" customFormat="false" ht="15" hidden="false" customHeight="false" outlineLevel="0" collapsed="false">
      <c r="A5" s="2" t="n">
        <v>2025</v>
      </c>
      <c r="B5" s="2" t="n">
        <v>2026</v>
      </c>
      <c r="C5" s="2" t="s">
        <v>97</v>
      </c>
      <c r="D5" s="3" t="n">
        <f aca="false">SUMIFS(Inputs!F:F,Inputs!A:A,A5,Inputs!B:B,"funding",Inputs!I:I,"new in this address")</f>
        <v>0</v>
      </c>
      <c r="E5" s="3" t="n">
        <f aca="false">SUMIFS(Inputs!F:F,Inputs!A:A,A5,Inputs!B:B,"funding",Inputs!I:I,"already in place before this address")</f>
        <v>4100</v>
      </c>
      <c r="F5" s="3" t="n">
        <f aca="false">SUMIFS(Inputs!F:F,Inputs!A:A,B5,Inputs!B:B,"outcome_IPO")</f>
        <v>342400</v>
      </c>
      <c r="G5" s="3" t="n">
        <f aca="false">SUMIFS(Inputs!F:F,Inputs!A:A,B5,Inputs!B:B,"outcome_ADT")</f>
        <v>282500</v>
      </c>
    </row>
    <row r="6" customFormat="false" ht="15" hidden="false" customHeight="false" outlineLevel="0" collapsed="false">
      <c r="A6" s="2" t="n">
        <v>2026</v>
      </c>
      <c r="B6" s="2" t="s">
        <v>98</v>
      </c>
      <c r="C6" s="2" t="s">
        <v>99</v>
      </c>
      <c r="D6" s="3" t="n">
        <f aca="false">SUMIFS(Inputs!F:F,Inputs!A:A,A6,Inputs!B:B,"funding",Inputs!I:I,"new in this address")</f>
        <v>1300</v>
      </c>
      <c r="E6" s="3" t="n">
        <f aca="false">SUMIFS(Inputs!F:F,Inputs!A:A,A6,Inputs!B:B,"funding",Inputs!I:I,"already in place before this address")</f>
        <v>2000</v>
      </c>
      <c r="F6" s="2" t="s">
        <v>98</v>
      </c>
      <c r="G6" s="2" t="s">
        <v>98</v>
      </c>
    </row>
    <row r="8" customFormat="false" ht="15" hidden="false" customHeight="false" outlineLevel="0" collapsed="false">
      <c r="A8" s="0" t="s">
        <v>100</v>
      </c>
    </row>
    <row r="9" customFormat="false" ht="15" hidden="false" customHeight="false" outlineLevel="0" collapsed="false">
      <c r="A9" s="0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7" min="5" style="0" width="14"/>
    <col collapsed="false" customWidth="true" hidden="false" outlineLevel="0" max="9" min="8" style="0" width="9"/>
    <col collapsed="false" customWidth="true" hidden="false" outlineLevel="0" max="16" min="10" style="0" width="11"/>
    <col collapsed="false" customWidth="true" hidden="false" outlineLevel="0" max="17" min="17" style="0" width="40"/>
    <col collapsed="false" customWidth="true" hidden="false" outlineLevel="0" max="18" min="18" style="0" width="18"/>
    <col collapsed="false" customWidth="true" hidden="false" outlineLevel="0" max="19" min="19" style="0" width="40"/>
  </cols>
  <sheetData>
    <row r="1" customFormat="false" ht="31.5" hidden="false" customHeight="true" outlineLevel="0" collapsed="false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  <c r="N1" s="1" t="s">
        <v>115</v>
      </c>
      <c r="O1" s="1" t="s">
        <v>116</v>
      </c>
      <c r="P1" s="1" t="s">
        <v>117</v>
      </c>
      <c r="Q1" s="1" t="s">
        <v>118</v>
      </c>
      <c r="R1" s="1" t="s">
        <v>119</v>
      </c>
      <c r="S1" s="1" t="s">
        <v>6</v>
      </c>
    </row>
    <row r="2" customFormat="false" ht="15" hidden="false" customHeight="false" outlineLevel="0" collapsed="false">
      <c r="A2" s="2" t="s">
        <v>120</v>
      </c>
      <c r="B2" s="2" t="s">
        <v>121</v>
      </c>
      <c r="C2" s="5" t="n">
        <v>44202</v>
      </c>
      <c r="D2" s="6" t="n">
        <f aca="false">YEAR(C2)</f>
        <v>2021</v>
      </c>
      <c r="E2" s="7" t="n">
        <v>436</v>
      </c>
      <c r="F2" s="7" t="n">
        <v>436</v>
      </c>
      <c r="G2" s="3" t="n">
        <f aca="false">E2+F2</f>
        <v>872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/>
      <c r="R2" s="2"/>
      <c r="S2" s="2" t="s">
        <v>122</v>
      </c>
    </row>
    <row r="3" customFormat="false" ht="15" hidden="false" customHeight="false" outlineLevel="0" collapsed="false">
      <c r="A3" s="2" t="s">
        <v>123</v>
      </c>
      <c r="B3" s="2" t="s">
        <v>124</v>
      </c>
      <c r="C3" s="5" t="n">
        <v>44202</v>
      </c>
      <c r="D3" s="6" t="n">
        <f aca="false">YEAR(C3)</f>
        <v>2021</v>
      </c>
      <c r="E3" s="7" t="n">
        <v>41.252</v>
      </c>
      <c r="F3" s="7" t="n">
        <v>96.248</v>
      </c>
      <c r="G3" s="3" t="n">
        <f aca="false">E3+F3</f>
        <v>137.5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0</v>
      </c>
      <c r="P3" s="2" t="n">
        <v>0</v>
      </c>
      <c r="Q3" s="2"/>
      <c r="R3" s="2"/>
      <c r="S3" s="2" t="s">
        <v>122</v>
      </c>
    </row>
    <row r="4" customFormat="false" ht="15" hidden="false" customHeight="false" outlineLevel="0" collapsed="false">
      <c r="A4" s="2" t="s">
        <v>125</v>
      </c>
      <c r="B4" s="2" t="s">
        <v>126</v>
      </c>
      <c r="C4" s="5" t="n">
        <v>44209</v>
      </c>
      <c r="D4" s="6" t="n">
        <f aca="false">YEAR(C4)</f>
        <v>2021</v>
      </c>
      <c r="E4" s="7" t="n">
        <v>25.2</v>
      </c>
      <c r="F4" s="7" t="n">
        <v>100.8</v>
      </c>
      <c r="G4" s="3" t="n">
        <f aca="false">E4+F4</f>
        <v>126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/>
      <c r="R4" s="2"/>
      <c r="S4" s="2" t="s">
        <v>122</v>
      </c>
    </row>
    <row r="5" customFormat="false" ht="15" hidden="false" customHeight="false" outlineLevel="0" collapsed="false">
      <c r="A5" s="2" t="s">
        <v>127</v>
      </c>
      <c r="B5" s="2" t="s">
        <v>128</v>
      </c>
      <c r="C5" s="5" t="n">
        <v>44209</v>
      </c>
      <c r="D5" s="6" t="n">
        <f aca="false">YEAR(C5)</f>
        <v>2021</v>
      </c>
      <c r="E5" s="7" t="n">
        <v>62.5</v>
      </c>
      <c r="F5" s="7" t="n">
        <v>62.5</v>
      </c>
      <c r="G5" s="3" t="n">
        <f aca="false">E5+F5</f>
        <v>125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/>
      <c r="R5" s="2"/>
      <c r="S5" s="2" t="s">
        <v>122</v>
      </c>
    </row>
    <row r="6" customFormat="false" ht="15" hidden="false" customHeight="false" outlineLevel="0" collapsed="false">
      <c r="A6" s="2" t="s">
        <v>129</v>
      </c>
      <c r="B6" s="2" t="s">
        <v>130</v>
      </c>
      <c r="C6" s="5" t="n">
        <v>44209</v>
      </c>
      <c r="D6" s="6" t="n">
        <f aca="false">YEAR(C6)</f>
        <v>2021</v>
      </c>
      <c r="E6" s="7" t="n">
        <v>64.4806</v>
      </c>
      <c r="F6" s="7" t="n">
        <v>580.325</v>
      </c>
      <c r="G6" s="3" t="n">
        <f aca="false">E6+F6</f>
        <v>644.8056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/>
      <c r="R6" s="2"/>
      <c r="S6" s="2" t="s">
        <v>122</v>
      </c>
    </row>
    <row r="7" customFormat="false" ht="15" hidden="false" customHeight="false" outlineLevel="0" collapsed="false">
      <c r="A7" s="2" t="s">
        <v>131</v>
      </c>
      <c r="B7" s="2" t="s">
        <v>132</v>
      </c>
      <c r="C7" s="5" t="n">
        <v>44211</v>
      </c>
      <c r="D7" s="6" t="n">
        <f aca="false">YEAR(C7)</f>
        <v>2021</v>
      </c>
      <c r="E7" s="7" t="n">
        <v>125.46</v>
      </c>
      <c r="F7" s="7" t="n">
        <v>163.098</v>
      </c>
      <c r="G7" s="3" t="n">
        <f aca="false">E7+F7</f>
        <v>288.558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/>
      <c r="R7" s="2"/>
      <c r="S7" s="2" t="s">
        <v>122</v>
      </c>
    </row>
    <row r="8" customFormat="false" ht="15" hidden="false" customHeight="false" outlineLevel="0" collapsed="false">
      <c r="A8" s="2" t="s">
        <v>133</v>
      </c>
      <c r="B8" s="2" t="s">
        <v>134</v>
      </c>
      <c r="C8" s="5" t="n">
        <v>44211</v>
      </c>
      <c r="D8" s="6" t="n">
        <f aca="false">YEAR(C8)</f>
        <v>2021</v>
      </c>
      <c r="E8" s="7" t="n">
        <v>126.524</v>
      </c>
      <c r="F8" s="7" t="n">
        <v>1138.716</v>
      </c>
      <c r="G8" s="3" t="n">
        <f aca="false">E8+F8</f>
        <v>1265.24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/>
      <c r="R8" s="2"/>
      <c r="S8" s="2" t="s">
        <v>122</v>
      </c>
    </row>
    <row r="9" customFormat="false" ht="15" hidden="false" customHeight="false" outlineLevel="0" collapsed="false">
      <c r="A9" s="2" t="s">
        <v>135</v>
      </c>
      <c r="B9" s="2" t="s">
        <v>136</v>
      </c>
      <c r="C9" s="5" t="n">
        <v>44211</v>
      </c>
      <c r="D9" s="6" t="n">
        <f aca="false">YEAR(C9)</f>
        <v>2021</v>
      </c>
      <c r="E9" s="7" t="n">
        <v>487.3932</v>
      </c>
      <c r="F9" s="7" t="n">
        <v>633.6112</v>
      </c>
      <c r="G9" s="3" t="n">
        <f aca="false">E9+F9</f>
        <v>1121.0044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1</v>
      </c>
      <c r="O9" s="2" t="n">
        <v>0</v>
      </c>
      <c r="P9" s="2" t="n">
        <v>0</v>
      </c>
      <c r="Q9" s="2"/>
      <c r="R9" s="2"/>
      <c r="S9" s="2" t="s">
        <v>122</v>
      </c>
    </row>
    <row r="10" customFormat="false" ht="15" hidden="false" customHeight="false" outlineLevel="0" collapsed="false">
      <c r="A10" s="2" t="s">
        <v>137</v>
      </c>
      <c r="B10" s="2" t="s">
        <v>138</v>
      </c>
      <c r="C10" s="5" t="n">
        <v>44211</v>
      </c>
      <c r="D10" s="6" t="n">
        <f aca="false">YEAR(C10)</f>
        <v>2021</v>
      </c>
      <c r="E10" s="7" t="n">
        <v>53.1</v>
      </c>
      <c r="F10" s="7" t="n">
        <v>123.9</v>
      </c>
      <c r="G10" s="3" t="n">
        <f aca="false">E10+F10</f>
        <v>177</v>
      </c>
      <c r="H10" s="2" t="n">
        <v>0</v>
      </c>
      <c r="I10" s="2" t="n">
        <v>0</v>
      </c>
      <c r="J10" s="2" t="n">
        <v>1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/>
      <c r="R10" s="2"/>
      <c r="S10" s="2" t="s">
        <v>122</v>
      </c>
    </row>
    <row r="11" customFormat="false" ht="15" hidden="false" customHeight="false" outlineLevel="0" collapsed="false">
      <c r="A11" s="2" t="s">
        <v>139</v>
      </c>
      <c r="B11" s="2" t="s">
        <v>140</v>
      </c>
      <c r="C11" s="5" t="n">
        <v>44211</v>
      </c>
      <c r="D11" s="6" t="n">
        <f aca="false">YEAR(C11)</f>
        <v>2021</v>
      </c>
      <c r="E11" s="7" t="n">
        <v>2057.3175</v>
      </c>
      <c r="F11" s="7" t="n">
        <v>2674.5127</v>
      </c>
      <c r="G11" s="3" t="n">
        <f aca="false">E11+F11</f>
        <v>4731.8302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/>
      <c r="R11" s="2"/>
      <c r="S11" s="2" t="s">
        <v>122</v>
      </c>
    </row>
    <row r="12" customFormat="false" ht="15" hidden="false" customHeight="false" outlineLevel="0" collapsed="false">
      <c r="A12" s="2" t="s">
        <v>141</v>
      </c>
      <c r="B12" s="2" t="s">
        <v>142</v>
      </c>
      <c r="C12" s="5" t="n">
        <v>44214</v>
      </c>
      <c r="D12" s="6" t="n">
        <f aca="false">YEAR(C12)</f>
        <v>2021</v>
      </c>
      <c r="E12" s="7" t="n">
        <v>60</v>
      </c>
      <c r="F12" s="7" t="n">
        <v>140</v>
      </c>
      <c r="G12" s="3" t="n">
        <f aca="false">E12+F12</f>
        <v>200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/>
      <c r="R12" s="2"/>
      <c r="S12" s="2" t="s">
        <v>122</v>
      </c>
    </row>
    <row r="13" customFormat="false" ht="15" hidden="false" customHeight="false" outlineLevel="0" collapsed="false">
      <c r="A13" s="2" t="s">
        <v>143</v>
      </c>
      <c r="B13" s="2" t="s">
        <v>144</v>
      </c>
      <c r="C13" s="5" t="n">
        <v>44215</v>
      </c>
      <c r="D13" s="6" t="n">
        <f aca="false">YEAR(C13)</f>
        <v>2021</v>
      </c>
      <c r="E13" s="7" t="n">
        <v>75</v>
      </c>
      <c r="F13" s="7" t="n">
        <v>75</v>
      </c>
      <c r="G13" s="3" t="n">
        <f aca="false">E13+F13</f>
        <v>150</v>
      </c>
      <c r="H13" s="2" t="n">
        <v>0</v>
      </c>
      <c r="I13" s="2" t="n">
        <v>0</v>
      </c>
      <c r="J13" s="2" t="n">
        <v>1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/>
      <c r="R13" s="2"/>
      <c r="S13" s="2" t="s">
        <v>122</v>
      </c>
    </row>
    <row r="14" customFormat="false" ht="15" hidden="false" customHeight="false" outlineLevel="0" collapsed="false">
      <c r="A14" s="2" t="s">
        <v>145</v>
      </c>
      <c r="B14" s="2" t="s">
        <v>146</v>
      </c>
      <c r="C14" s="5" t="n">
        <v>44222</v>
      </c>
      <c r="D14" s="6" t="n">
        <f aca="false">YEAR(C14)</f>
        <v>2021</v>
      </c>
      <c r="E14" s="7" t="n">
        <v>482.5</v>
      </c>
      <c r="F14" s="7" t="n">
        <v>562.1704</v>
      </c>
      <c r="G14" s="3" t="n">
        <f aca="false">E14+F14</f>
        <v>1044.6704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/>
      <c r="R14" s="2"/>
      <c r="S14" s="2" t="s">
        <v>122</v>
      </c>
    </row>
    <row r="15" customFormat="false" ht="15" hidden="false" customHeight="false" outlineLevel="0" collapsed="false">
      <c r="A15" s="2" t="s">
        <v>147</v>
      </c>
      <c r="B15" s="2" t="s">
        <v>148</v>
      </c>
      <c r="C15" s="5" t="n">
        <v>44231</v>
      </c>
      <c r="D15" s="6" t="n">
        <f aca="false">YEAR(C15)</f>
        <v>2021</v>
      </c>
      <c r="E15" s="7" t="n">
        <v>1254.282</v>
      </c>
      <c r="F15" s="7" t="n">
        <v>1630.5666</v>
      </c>
      <c r="G15" s="3" t="n">
        <f aca="false">E15+F15</f>
        <v>2884.8486</v>
      </c>
      <c r="H15" s="2" t="n">
        <v>1</v>
      </c>
      <c r="I15" s="2" t="n">
        <v>0</v>
      </c>
      <c r="J15" s="2" t="n">
        <v>1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/>
      <c r="R15" s="2"/>
      <c r="S15" s="2" t="s">
        <v>122</v>
      </c>
    </row>
    <row r="16" customFormat="false" ht="15" hidden="false" customHeight="false" outlineLevel="0" collapsed="false">
      <c r="A16" s="2" t="s">
        <v>149</v>
      </c>
      <c r="B16" s="2" t="s">
        <v>150</v>
      </c>
      <c r="C16" s="5" t="n">
        <v>44232</v>
      </c>
      <c r="D16" s="6" t="n">
        <f aca="false">YEAR(C16)</f>
        <v>2021</v>
      </c>
      <c r="E16" s="7" t="n">
        <v>53.6232</v>
      </c>
      <c r="F16" s="7" t="n">
        <v>0</v>
      </c>
      <c r="G16" s="3" t="n">
        <f aca="false">E16+F16</f>
        <v>53.6232</v>
      </c>
      <c r="H16" s="2" t="n">
        <v>0</v>
      </c>
      <c r="I16" s="2" t="n">
        <v>0</v>
      </c>
      <c r="J16" s="2" t="n">
        <v>1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/>
      <c r="R16" s="2"/>
      <c r="S16" s="2" t="s">
        <v>122</v>
      </c>
    </row>
    <row r="17" customFormat="false" ht="15" hidden="false" customHeight="false" outlineLevel="0" collapsed="false">
      <c r="A17" s="2" t="s">
        <v>151</v>
      </c>
      <c r="B17" s="2" t="s">
        <v>152</v>
      </c>
      <c r="C17" s="5" t="n">
        <v>44232</v>
      </c>
      <c r="D17" s="6" t="n">
        <f aca="false">YEAR(C17)</f>
        <v>2021</v>
      </c>
      <c r="E17" s="7" t="n">
        <v>2520.018</v>
      </c>
      <c r="F17" s="7" t="n">
        <v>45780.1315</v>
      </c>
      <c r="G17" s="3" t="n">
        <f aca="false">E17+F17</f>
        <v>48300.1495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/>
      <c r="R17" s="2"/>
      <c r="S17" s="2" t="s">
        <v>122</v>
      </c>
    </row>
    <row r="18" customFormat="false" ht="15" hidden="false" customHeight="false" outlineLevel="0" collapsed="false">
      <c r="A18" s="2" t="s">
        <v>153</v>
      </c>
      <c r="B18" s="2" t="s">
        <v>154</v>
      </c>
      <c r="C18" s="5" t="n">
        <v>44235</v>
      </c>
      <c r="D18" s="6" t="n">
        <f aca="false">YEAR(C18)</f>
        <v>2021</v>
      </c>
      <c r="E18" s="7" t="n">
        <v>912.0456</v>
      </c>
      <c r="F18" s="7" t="n">
        <v>1099.6258</v>
      </c>
      <c r="G18" s="3" t="n">
        <f aca="false">E18+F18</f>
        <v>2011.6714</v>
      </c>
      <c r="H18" s="2" t="n">
        <v>1</v>
      </c>
      <c r="I18" s="2" t="n">
        <v>0</v>
      </c>
      <c r="J18" s="2" t="n">
        <v>1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/>
      <c r="R18" s="2"/>
      <c r="S18" s="2" t="s">
        <v>122</v>
      </c>
    </row>
    <row r="19" customFormat="false" ht="15" hidden="false" customHeight="false" outlineLevel="0" collapsed="false">
      <c r="A19" s="2" t="s">
        <v>155</v>
      </c>
      <c r="B19" s="2" t="s">
        <v>156</v>
      </c>
      <c r="C19" s="5" t="n">
        <v>44245</v>
      </c>
      <c r="D19" s="6" t="n">
        <f aca="false">YEAR(C19)</f>
        <v>2021</v>
      </c>
      <c r="E19" s="7" t="n">
        <v>1021.0513</v>
      </c>
      <c r="F19" s="7" t="n">
        <v>1327.3614</v>
      </c>
      <c r="G19" s="3" t="n">
        <f aca="false">E19+F19</f>
        <v>2348.4127</v>
      </c>
      <c r="H19" s="2" t="n">
        <v>1</v>
      </c>
      <c r="I19" s="2" t="n">
        <v>0</v>
      </c>
      <c r="J19" s="2" t="n">
        <v>1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/>
      <c r="R19" s="2"/>
      <c r="S19" s="2" t="s">
        <v>122</v>
      </c>
    </row>
    <row r="20" customFormat="false" ht="15" hidden="false" customHeight="false" outlineLevel="0" collapsed="false">
      <c r="A20" s="2" t="s">
        <v>157</v>
      </c>
      <c r="B20" s="2" t="s">
        <v>158</v>
      </c>
      <c r="C20" s="5" t="n">
        <v>44246</v>
      </c>
      <c r="D20" s="6" t="n">
        <f aca="false">YEAR(C20)</f>
        <v>2021</v>
      </c>
      <c r="E20" s="7" t="n">
        <v>56</v>
      </c>
      <c r="F20" s="7" t="n">
        <v>84</v>
      </c>
      <c r="G20" s="3" t="n">
        <f aca="false">E20+F20</f>
        <v>140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/>
      <c r="R20" s="2"/>
      <c r="S20" s="2" t="s">
        <v>122</v>
      </c>
    </row>
    <row r="21" customFormat="false" ht="15" hidden="false" customHeight="false" outlineLevel="0" collapsed="false">
      <c r="A21" s="2" t="s">
        <v>159</v>
      </c>
      <c r="B21" s="2" t="s">
        <v>160</v>
      </c>
      <c r="C21" s="5" t="n">
        <v>44253</v>
      </c>
      <c r="D21" s="6" t="n">
        <f aca="false">YEAR(C21)</f>
        <v>2021</v>
      </c>
      <c r="E21" s="7" t="n">
        <v>2355.147</v>
      </c>
      <c r="F21" s="7" t="n">
        <v>4193.0586</v>
      </c>
      <c r="G21" s="3" t="n">
        <f aca="false">E21+F21</f>
        <v>6548.2056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/>
      <c r="R21" s="2"/>
      <c r="S21" s="2" t="s">
        <v>122</v>
      </c>
    </row>
    <row r="22" customFormat="false" ht="15" hidden="false" customHeight="false" outlineLevel="0" collapsed="false">
      <c r="A22" s="2" t="s">
        <v>161</v>
      </c>
      <c r="B22" s="2" t="s">
        <v>162</v>
      </c>
      <c r="C22" s="5" t="n">
        <v>44258</v>
      </c>
      <c r="D22" s="6" t="n">
        <f aca="false">YEAR(C22)</f>
        <v>2021</v>
      </c>
      <c r="E22" s="7" t="n">
        <v>1090.2684</v>
      </c>
      <c r="F22" s="7" t="n">
        <v>1090.2402</v>
      </c>
      <c r="G22" s="3" t="n">
        <f aca="false">E22+F22</f>
        <v>2180.5086</v>
      </c>
      <c r="H22" s="2" t="n">
        <v>0</v>
      </c>
      <c r="I22" s="2" t="n">
        <v>0</v>
      </c>
      <c r="J22" s="2" t="n">
        <v>1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/>
      <c r="R22" s="2"/>
      <c r="S22" s="2" t="s">
        <v>122</v>
      </c>
    </row>
    <row r="23" customFormat="false" ht="15" hidden="false" customHeight="false" outlineLevel="0" collapsed="false">
      <c r="A23" s="2" t="s">
        <v>163</v>
      </c>
      <c r="B23" s="2" t="s">
        <v>164</v>
      </c>
      <c r="C23" s="5" t="n">
        <v>44265</v>
      </c>
      <c r="D23" s="6" t="n">
        <f aca="false">YEAR(C23)</f>
        <v>2021</v>
      </c>
      <c r="E23" s="7" t="n">
        <v>1533.3364</v>
      </c>
      <c r="F23" s="7" t="n">
        <v>1533.3318</v>
      </c>
      <c r="G23" s="3" t="n">
        <f aca="false">E23+F23</f>
        <v>3066.6682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/>
      <c r="R23" s="2"/>
      <c r="S23" s="2" t="s">
        <v>122</v>
      </c>
    </row>
    <row r="24" customFormat="false" ht="15" hidden="false" customHeight="false" outlineLevel="0" collapsed="false">
      <c r="A24" s="2" t="s">
        <v>165</v>
      </c>
      <c r="B24" s="2" t="s">
        <v>166</v>
      </c>
      <c r="C24" s="5" t="n">
        <v>44266</v>
      </c>
      <c r="D24" s="6" t="n">
        <f aca="false">YEAR(C24)</f>
        <v>2021</v>
      </c>
      <c r="E24" s="7" t="n">
        <v>54</v>
      </c>
      <c r="F24" s="7" t="n">
        <v>81</v>
      </c>
      <c r="G24" s="3" t="n">
        <f aca="false">E24+F24</f>
        <v>135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1</v>
      </c>
      <c r="Q24" s="2"/>
      <c r="R24" s="2"/>
      <c r="S24" s="2" t="s">
        <v>122</v>
      </c>
    </row>
    <row r="25" customFormat="false" ht="15" hidden="false" customHeight="false" outlineLevel="0" collapsed="false">
      <c r="A25" s="2" t="s">
        <v>167</v>
      </c>
      <c r="B25" s="2" t="s">
        <v>168</v>
      </c>
      <c r="C25" s="5" t="n">
        <v>44270</v>
      </c>
      <c r="D25" s="6" t="n">
        <f aca="false">YEAR(C25)</f>
        <v>2021</v>
      </c>
      <c r="E25" s="7" t="n">
        <v>534.048</v>
      </c>
      <c r="F25" s="7" t="n">
        <v>5607.3978</v>
      </c>
      <c r="G25" s="3" t="n">
        <f aca="false">E25+F25</f>
        <v>6141.4458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/>
      <c r="R25" s="2"/>
      <c r="S25" s="2" t="s">
        <v>122</v>
      </c>
    </row>
    <row r="26" customFormat="false" ht="15" hidden="false" customHeight="false" outlineLevel="0" collapsed="false">
      <c r="A26" s="2" t="s">
        <v>169</v>
      </c>
      <c r="B26" s="2" t="s">
        <v>170</v>
      </c>
      <c r="C26" s="5" t="n">
        <v>44271</v>
      </c>
      <c r="D26" s="6" t="n">
        <f aca="false">YEAR(C26)</f>
        <v>2021</v>
      </c>
      <c r="E26" s="7" t="n">
        <v>74.25</v>
      </c>
      <c r="F26" s="7" t="n">
        <v>74.25</v>
      </c>
      <c r="G26" s="3" t="n">
        <f aca="false">E26+F26</f>
        <v>148.5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/>
      <c r="R26" s="2"/>
      <c r="S26" s="2" t="s">
        <v>122</v>
      </c>
    </row>
    <row r="27" customFormat="false" ht="15" hidden="false" customHeight="false" outlineLevel="0" collapsed="false">
      <c r="A27" s="2" t="s">
        <v>171</v>
      </c>
      <c r="B27" s="2" t="s">
        <v>172</v>
      </c>
      <c r="C27" s="5" t="n">
        <v>44278</v>
      </c>
      <c r="D27" s="6" t="n">
        <f aca="false">YEAR(C27)</f>
        <v>2021</v>
      </c>
      <c r="E27" s="7" t="n">
        <v>2872.8</v>
      </c>
      <c r="F27" s="7" t="n">
        <v>21067.2</v>
      </c>
      <c r="G27" s="3" t="n">
        <f aca="false">E27+F27</f>
        <v>23940</v>
      </c>
      <c r="H27" s="2" t="n">
        <v>0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/>
      <c r="R27" s="2"/>
      <c r="S27" s="2" t="s">
        <v>122</v>
      </c>
    </row>
    <row r="28" customFormat="false" ht="15" hidden="false" customHeight="false" outlineLevel="0" collapsed="false">
      <c r="A28" s="2" t="s">
        <v>173</v>
      </c>
      <c r="B28" s="2" t="s">
        <v>174</v>
      </c>
      <c r="C28" s="5" t="n">
        <v>44281</v>
      </c>
      <c r="D28" s="6" t="n">
        <f aca="false">YEAR(C28)</f>
        <v>2021</v>
      </c>
      <c r="E28" s="7" t="n">
        <v>56.112</v>
      </c>
      <c r="F28" s="7" t="n">
        <v>224.388</v>
      </c>
      <c r="G28" s="3" t="n">
        <f aca="false">E28+F28</f>
        <v>280.5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/>
      <c r="R28" s="2"/>
      <c r="S28" s="2" t="s">
        <v>122</v>
      </c>
    </row>
    <row r="29" customFormat="false" ht="15" hidden="false" customHeight="false" outlineLevel="0" collapsed="false">
      <c r="A29" s="2" t="s">
        <v>175</v>
      </c>
      <c r="B29" s="2" t="s">
        <v>176</v>
      </c>
      <c r="C29" s="5" t="n">
        <v>44284</v>
      </c>
      <c r="D29" s="6" t="n">
        <f aca="false">YEAR(C29)</f>
        <v>2021</v>
      </c>
      <c r="E29" s="7" t="n">
        <v>2424</v>
      </c>
      <c r="F29" s="7" t="n">
        <v>20806</v>
      </c>
      <c r="G29" s="3" t="n">
        <f aca="false">E29+F29</f>
        <v>23230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/>
      <c r="R29" s="2"/>
      <c r="S29" s="2" t="s">
        <v>122</v>
      </c>
    </row>
    <row r="30" customFormat="false" ht="15" hidden="false" customHeight="false" outlineLevel="0" collapsed="false">
      <c r="A30" s="2" t="s">
        <v>177</v>
      </c>
      <c r="B30" s="2" t="s">
        <v>178</v>
      </c>
      <c r="C30" s="5" t="n">
        <v>44286</v>
      </c>
      <c r="D30" s="6" t="n">
        <f aca="false">YEAR(C30)</f>
        <v>2021</v>
      </c>
      <c r="E30" s="7" t="n">
        <v>1968.8016</v>
      </c>
      <c r="F30" s="7" t="n">
        <v>1968.4539</v>
      </c>
      <c r="G30" s="3" t="n">
        <f aca="false">E30+F30</f>
        <v>3937.2555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/>
      <c r="R30" s="2"/>
      <c r="S30" s="2" t="s">
        <v>122</v>
      </c>
    </row>
    <row r="31" customFormat="false" ht="15" hidden="false" customHeight="false" outlineLevel="0" collapsed="false">
      <c r="A31" s="2" t="s">
        <v>179</v>
      </c>
      <c r="B31" s="2" t="s">
        <v>180</v>
      </c>
      <c r="C31" s="5" t="n">
        <v>44286</v>
      </c>
      <c r="D31" s="6" t="n">
        <f aca="false">YEAR(C31)</f>
        <v>2021</v>
      </c>
      <c r="E31" s="7" t="n">
        <v>47.25</v>
      </c>
      <c r="F31" s="7" t="n">
        <v>133.875</v>
      </c>
      <c r="G31" s="3" t="n">
        <f aca="false">E31+F31</f>
        <v>181.125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/>
      <c r="R31" s="2"/>
      <c r="S31" s="2" t="s">
        <v>122</v>
      </c>
    </row>
    <row r="32" customFormat="false" ht="15" hidden="false" customHeight="false" outlineLevel="0" collapsed="false">
      <c r="A32" s="2" t="s">
        <v>181</v>
      </c>
      <c r="B32" s="2" t="s">
        <v>182</v>
      </c>
      <c r="C32" s="5" t="n">
        <v>44286</v>
      </c>
      <c r="D32" s="6" t="n">
        <f aca="false">YEAR(C32)</f>
        <v>2021</v>
      </c>
      <c r="E32" s="7" t="n">
        <v>42</v>
      </c>
      <c r="F32" s="7" t="n">
        <v>98</v>
      </c>
      <c r="G32" s="3" t="n">
        <f aca="false">E32+F32</f>
        <v>140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/>
      <c r="R32" s="2"/>
      <c r="S32" s="2" t="s">
        <v>122</v>
      </c>
    </row>
    <row r="33" customFormat="false" ht="15" hidden="false" customHeight="false" outlineLevel="0" collapsed="false">
      <c r="A33" s="2" t="s">
        <v>183</v>
      </c>
      <c r="B33" s="2" t="s">
        <v>184</v>
      </c>
      <c r="C33" s="5" t="n">
        <v>44295</v>
      </c>
      <c r="D33" s="6" t="n">
        <f aca="false">YEAR(C33)</f>
        <v>2021</v>
      </c>
      <c r="E33" s="7" t="n">
        <v>2229.2495</v>
      </c>
      <c r="F33" s="7" t="n">
        <v>6926.5903</v>
      </c>
      <c r="G33" s="3" t="n">
        <f aca="false">E33+F33</f>
        <v>9155.8398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/>
      <c r="R33" s="2"/>
      <c r="S33" s="2" t="s">
        <v>122</v>
      </c>
    </row>
    <row r="34" customFormat="false" ht="15" hidden="false" customHeight="false" outlineLevel="0" collapsed="false">
      <c r="A34" s="2" t="s">
        <v>185</v>
      </c>
      <c r="B34" s="2" t="s">
        <v>186</v>
      </c>
      <c r="C34" s="5" t="n">
        <v>44305</v>
      </c>
      <c r="D34" s="6" t="n">
        <f aca="false">YEAR(C34)</f>
        <v>2021</v>
      </c>
      <c r="E34" s="7" t="n">
        <v>932.6266</v>
      </c>
      <c r="F34" s="7" t="n">
        <v>8817.4546</v>
      </c>
      <c r="G34" s="3" t="n">
        <f aca="false">E34+F34</f>
        <v>9750.0812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/>
      <c r="R34" s="2"/>
      <c r="S34" s="2" t="s">
        <v>122</v>
      </c>
    </row>
    <row r="35" customFormat="false" ht="15" hidden="false" customHeight="false" outlineLevel="0" collapsed="false">
      <c r="A35" s="2" t="s">
        <v>187</v>
      </c>
      <c r="B35" s="2" t="s">
        <v>188</v>
      </c>
      <c r="C35" s="5" t="n">
        <v>44315</v>
      </c>
      <c r="D35" s="6" t="n">
        <f aca="false">YEAR(C35)</f>
        <v>2021</v>
      </c>
      <c r="E35" s="7" t="n">
        <v>830.3736</v>
      </c>
      <c r="F35" s="7" t="n">
        <v>1245.5604</v>
      </c>
      <c r="G35" s="3" t="n">
        <f aca="false">E35+F35</f>
        <v>2075.934</v>
      </c>
      <c r="H35" s="2" t="n">
        <v>1</v>
      </c>
      <c r="I35" s="2" t="n">
        <v>0</v>
      </c>
      <c r="J35" s="2" t="n">
        <v>1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/>
      <c r="R35" s="2"/>
      <c r="S35" s="2" t="s">
        <v>122</v>
      </c>
    </row>
    <row r="36" customFormat="false" ht="15" hidden="false" customHeight="false" outlineLevel="0" collapsed="false">
      <c r="A36" s="2" t="s">
        <v>189</v>
      </c>
      <c r="B36" s="2" t="s">
        <v>190</v>
      </c>
      <c r="C36" s="5" t="n">
        <v>44330</v>
      </c>
      <c r="D36" s="6" t="n">
        <f aca="false">YEAR(C36)</f>
        <v>2021</v>
      </c>
      <c r="E36" s="7" t="n">
        <v>0</v>
      </c>
      <c r="F36" s="7" t="n">
        <v>0</v>
      </c>
      <c r="G36" s="3" t="n">
        <f aca="false">E36+F36</f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/>
      <c r="R36" s="2"/>
      <c r="S36" s="2" t="s">
        <v>122</v>
      </c>
    </row>
    <row r="37" customFormat="false" ht="15" hidden="false" customHeight="false" outlineLevel="0" collapsed="false">
      <c r="A37" s="2" t="s">
        <v>191</v>
      </c>
      <c r="B37" s="2" t="s">
        <v>192</v>
      </c>
      <c r="C37" s="5" t="n">
        <v>44341</v>
      </c>
      <c r="D37" s="6" t="n">
        <f aca="false">YEAR(C37)</f>
        <v>2021</v>
      </c>
      <c r="E37" s="7" t="n">
        <v>76</v>
      </c>
      <c r="F37" s="7" t="n">
        <v>737.6788</v>
      </c>
      <c r="G37" s="3" t="n">
        <f aca="false">E37+F37</f>
        <v>813.6788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/>
      <c r="R37" s="2"/>
      <c r="S37" s="2" t="s">
        <v>122</v>
      </c>
    </row>
    <row r="38" customFormat="false" ht="15" hidden="false" customHeight="false" outlineLevel="0" collapsed="false">
      <c r="A38" s="2" t="s">
        <v>193</v>
      </c>
      <c r="B38" s="2" t="s">
        <v>194</v>
      </c>
      <c r="C38" s="5" t="n">
        <v>44344</v>
      </c>
      <c r="D38" s="6" t="n">
        <f aca="false">YEAR(C38)</f>
        <v>2021</v>
      </c>
      <c r="E38" s="7" t="n">
        <v>2212.7168</v>
      </c>
      <c r="F38" s="7" t="n">
        <v>26060.8717</v>
      </c>
      <c r="G38" s="3" t="n">
        <f aca="false">E38+F38</f>
        <v>28273.5885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/>
      <c r="R38" s="2"/>
      <c r="S38" s="2" t="s">
        <v>122</v>
      </c>
    </row>
    <row r="39" customFormat="false" ht="15" hidden="false" customHeight="false" outlineLevel="0" collapsed="false">
      <c r="A39" s="2" t="s">
        <v>195</v>
      </c>
      <c r="B39" s="2" t="s">
        <v>196</v>
      </c>
      <c r="C39" s="5" t="n">
        <v>44347</v>
      </c>
      <c r="D39" s="6" t="n">
        <f aca="false">YEAR(C39)</f>
        <v>2021</v>
      </c>
      <c r="E39" s="7" t="n">
        <v>98.454</v>
      </c>
      <c r="F39" s="7" t="n">
        <v>886.062</v>
      </c>
      <c r="G39" s="3" t="n">
        <f aca="false">E39+F39</f>
        <v>984.516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/>
      <c r="R39" s="2"/>
      <c r="S39" s="2" t="s">
        <v>122</v>
      </c>
    </row>
    <row r="40" customFormat="false" ht="15" hidden="false" customHeight="false" outlineLevel="0" collapsed="false">
      <c r="A40" s="2" t="s">
        <v>197</v>
      </c>
      <c r="B40" s="2" t="s">
        <v>198</v>
      </c>
      <c r="C40" s="5" t="n">
        <v>44363</v>
      </c>
      <c r="D40" s="6" t="n">
        <f aca="false">YEAR(C40)</f>
        <v>2021</v>
      </c>
      <c r="E40" s="7" t="n">
        <v>1455.7604</v>
      </c>
      <c r="F40" s="7" t="n">
        <v>1892.4816</v>
      </c>
      <c r="G40" s="3" t="n">
        <f aca="false">E40+F40</f>
        <v>3348.242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/>
      <c r="R40" s="2"/>
      <c r="S40" s="2" t="s">
        <v>122</v>
      </c>
    </row>
    <row r="41" customFormat="false" ht="15" hidden="false" customHeight="false" outlineLevel="0" collapsed="false">
      <c r="A41" s="2" t="s">
        <v>199</v>
      </c>
      <c r="B41" s="2" t="s">
        <v>200</v>
      </c>
      <c r="C41" s="5" t="n">
        <v>44365</v>
      </c>
      <c r="D41" s="6" t="n">
        <f aca="false">YEAR(C41)</f>
        <v>2021</v>
      </c>
      <c r="E41" s="7" t="n">
        <v>1553.8508</v>
      </c>
      <c r="F41" s="7" t="n">
        <v>1553.8508</v>
      </c>
      <c r="G41" s="3" t="n">
        <f aca="false">E41+F41</f>
        <v>3107.7016</v>
      </c>
      <c r="H41" s="2" t="n">
        <v>1</v>
      </c>
      <c r="I41" s="2" t="n">
        <v>0</v>
      </c>
      <c r="J41" s="2" t="n">
        <v>1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/>
      <c r="R41" s="2"/>
      <c r="S41" s="2" t="s">
        <v>122</v>
      </c>
    </row>
    <row r="42" customFormat="false" ht="15" hidden="false" customHeight="false" outlineLevel="0" collapsed="false">
      <c r="A42" s="2" t="s">
        <v>201</v>
      </c>
      <c r="B42" s="2" t="s">
        <v>202</v>
      </c>
      <c r="C42" s="5" t="n">
        <v>44365</v>
      </c>
      <c r="D42" s="6" t="n">
        <f aca="false">YEAR(C42)</f>
        <v>2021</v>
      </c>
      <c r="E42" s="7" t="n">
        <v>499.3771</v>
      </c>
      <c r="F42" s="7" t="n">
        <v>4494.3592</v>
      </c>
      <c r="G42" s="3" t="n">
        <f aca="false">E42+F42</f>
        <v>4993.7363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/>
      <c r="R42" s="2"/>
      <c r="S42" s="2" t="s">
        <v>122</v>
      </c>
    </row>
    <row r="43" customFormat="false" ht="15" hidden="false" customHeight="false" outlineLevel="0" collapsed="false">
      <c r="A43" s="2" t="s">
        <v>203</v>
      </c>
      <c r="B43" s="2" t="s">
        <v>204</v>
      </c>
      <c r="C43" s="5" t="n">
        <v>44375</v>
      </c>
      <c r="D43" s="6" t="n">
        <f aca="false">YEAR(C43)</f>
        <v>2021</v>
      </c>
      <c r="E43" s="7" t="n">
        <v>186</v>
      </c>
      <c r="F43" s="7" t="n">
        <v>527</v>
      </c>
      <c r="G43" s="3" t="n">
        <f aca="false">E43+F43</f>
        <v>713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/>
      <c r="R43" s="2"/>
      <c r="S43" s="2" t="s">
        <v>122</v>
      </c>
    </row>
    <row r="44" customFormat="false" ht="15" hidden="false" customHeight="false" outlineLevel="0" collapsed="false">
      <c r="A44" s="2" t="s">
        <v>205</v>
      </c>
      <c r="B44" s="2" t="s">
        <v>206</v>
      </c>
      <c r="C44" s="5" t="n">
        <v>44375</v>
      </c>
      <c r="D44" s="6" t="n">
        <f aca="false">YEAR(C44)</f>
        <v>2021</v>
      </c>
      <c r="E44" s="7" t="n">
        <v>180.3941</v>
      </c>
      <c r="F44" s="7" t="n">
        <v>1835.39</v>
      </c>
      <c r="G44" s="3" t="n">
        <f aca="false">E44+F44</f>
        <v>2015.7841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/>
      <c r="R44" s="2"/>
      <c r="S44" s="2" t="s">
        <v>122</v>
      </c>
    </row>
    <row r="45" customFormat="false" ht="15" hidden="false" customHeight="false" outlineLevel="0" collapsed="false">
      <c r="A45" s="2" t="s">
        <v>207</v>
      </c>
      <c r="B45" s="2" t="s">
        <v>208</v>
      </c>
      <c r="C45" s="5" t="n">
        <v>44377</v>
      </c>
      <c r="D45" s="6" t="n">
        <f aca="false">YEAR(C45)</f>
        <v>2021</v>
      </c>
      <c r="E45" s="7" t="n">
        <v>521.3</v>
      </c>
      <c r="F45" s="7" t="n">
        <v>4274.66</v>
      </c>
      <c r="G45" s="3" t="n">
        <f aca="false">E45+F45</f>
        <v>4795.96</v>
      </c>
      <c r="H45" s="2" t="n">
        <v>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/>
      <c r="R45" s="2"/>
      <c r="S45" s="2" t="s">
        <v>122</v>
      </c>
    </row>
    <row r="46" customFormat="false" ht="15" hidden="false" customHeight="false" outlineLevel="0" collapsed="false">
      <c r="A46" s="2" t="s">
        <v>209</v>
      </c>
      <c r="B46" s="2" t="s">
        <v>210</v>
      </c>
      <c r="C46" s="5" t="n">
        <v>44377</v>
      </c>
      <c r="D46" s="6" t="n">
        <f aca="false">YEAR(C46)</f>
        <v>2021</v>
      </c>
      <c r="E46" s="7" t="n">
        <v>2546.9631</v>
      </c>
      <c r="F46" s="7" t="n">
        <v>0</v>
      </c>
      <c r="G46" s="3" t="n">
        <f aca="false">E46+F46</f>
        <v>2546.9631</v>
      </c>
      <c r="H46" s="2" t="n">
        <v>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/>
      <c r="R46" s="2"/>
      <c r="S46" s="2" t="s">
        <v>122</v>
      </c>
    </row>
    <row r="47" customFormat="false" ht="15" hidden="false" customHeight="false" outlineLevel="0" collapsed="false">
      <c r="A47" s="2" t="s">
        <v>211</v>
      </c>
      <c r="B47" s="2" t="s">
        <v>212</v>
      </c>
      <c r="C47" s="5" t="n">
        <v>44379</v>
      </c>
      <c r="D47" s="6" t="n">
        <f aca="false">YEAR(C47)</f>
        <v>2021</v>
      </c>
      <c r="E47" s="7" t="n">
        <v>185</v>
      </c>
      <c r="F47" s="7" t="n">
        <v>1942.5</v>
      </c>
      <c r="G47" s="3" t="n">
        <f aca="false">E47+F47</f>
        <v>2127.5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/>
      <c r="R47" s="2"/>
      <c r="S47" s="2" t="s">
        <v>122</v>
      </c>
    </row>
    <row r="48" customFormat="false" ht="15" hidden="false" customHeight="false" outlineLevel="0" collapsed="false">
      <c r="A48" s="2" t="s">
        <v>213</v>
      </c>
      <c r="B48" s="2" t="s">
        <v>214</v>
      </c>
      <c r="C48" s="5" t="n">
        <v>44382</v>
      </c>
      <c r="D48" s="6" t="n">
        <f aca="false">YEAR(C48)</f>
        <v>2021</v>
      </c>
      <c r="E48" s="7" t="n">
        <v>1281</v>
      </c>
      <c r="F48" s="7" t="n">
        <v>1665.3</v>
      </c>
      <c r="G48" s="3" t="n">
        <f aca="false">E48+F48</f>
        <v>2946.3</v>
      </c>
      <c r="H48" s="2" t="n">
        <v>1</v>
      </c>
      <c r="I48" s="2" t="n">
        <v>0</v>
      </c>
      <c r="J48" s="2" t="n">
        <v>1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/>
      <c r="R48" s="2"/>
      <c r="S48" s="2" t="s">
        <v>122</v>
      </c>
    </row>
    <row r="49" customFormat="false" ht="15" hidden="false" customHeight="false" outlineLevel="0" collapsed="false">
      <c r="A49" s="2" t="s">
        <v>215</v>
      </c>
      <c r="B49" s="2" t="s">
        <v>216</v>
      </c>
      <c r="C49" s="5" t="n">
        <v>44384</v>
      </c>
      <c r="D49" s="6" t="n">
        <f aca="false">YEAR(C49)</f>
        <v>2021</v>
      </c>
      <c r="E49" s="7" t="n">
        <v>905.929</v>
      </c>
      <c r="F49" s="7" t="n">
        <v>1119.254</v>
      </c>
      <c r="G49" s="3" t="n">
        <f aca="false">E49+F49</f>
        <v>2025.183</v>
      </c>
      <c r="H49" s="2" t="n">
        <v>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/>
      <c r="R49" s="2"/>
      <c r="S49" s="2" t="s">
        <v>122</v>
      </c>
    </row>
    <row r="50" customFormat="false" ht="15" hidden="false" customHeight="false" outlineLevel="0" collapsed="false">
      <c r="A50" s="2" t="s">
        <v>217</v>
      </c>
      <c r="B50" s="2" t="s">
        <v>218</v>
      </c>
      <c r="C50" s="5" t="n">
        <v>44384</v>
      </c>
      <c r="D50" s="6" t="n">
        <f aca="false">YEAR(C50)</f>
        <v>2021</v>
      </c>
      <c r="E50" s="7" t="n">
        <v>701.25</v>
      </c>
      <c r="F50" s="7" t="n">
        <v>15317.4945</v>
      </c>
      <c r="G50" s="3" t="n">
        <f aca="false">E50+F50</f>
        <v>16018.7445</v>
      </c>
      <c r="H50" s="2" t="n">
        <v>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/>
      <c r="R50" s="2"/>
      <c r="S50" s="2" t="s">
        <v>122</v>
      </c>
    </row>
    <row r="51" customFormat="false" ht="15" hidden="false" customHeight="false" outlineLevel="0" collapsed="false">
      <c r="A51" s="2" t="s">
        <v>219</v>
      </c>
      <c r="B51" s="2" t="s">
        <v>220</v>
      </c>
      <c r="C51" s="5" t="n">
        <v>44385</v>
      </c>
      <c r="D51" s="6" t="n">
        <f aca="false">YEAR(C51)</f>
        <v>2021</v>
      </c>
      <c r="E51" s="7" t="n">
        <v>1552.7889</v>
      </c>
      <c r="F51" s="7" t="n">
        <v>2018.5243</v>
      </c>
      <c r="G51" s="3" t="n">
        <f aca="false">E51+F51</f>
        <v>3571.3132</v>
      </c>
      <c r="H51" s="2" t="n">
        <v>1</v>
      </c>
      <c r="I51" s="2" t="n">
        <v>0</v>
      </c>
      <c r="J51" s="2" t="n">
        <v>1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/>
      <c r="R51" s="2"/>
      <c r="S51" s="2" t="s">
        <v>122</v>
      </c>
    </row>
    <row r="52" customFormat="false" ht="15" hidden="false" customHeight="false" outlineLevel="0" collapsed="false">
      <c r="A52" s="2" t="s">
        <v>221</v>
      </c>
      <c r="B52" s="2" t="s">
        <v>222</v>
      </c>
      <c r="C52" s="5" t="n">
        <v>44385</v>
      </c>
      <c r="D52" s="6" t="n">
        <f aca="false">YEAR(C52)</f>
        <v>2021</v>
      </c>
      <c r="E52" s="7" t="n">
        <v>31.8</v>
      </c>
      <c r="F52" s="7" t="n">
        <v>320.4327</v>
      </c>
      <c r="G52" s="3" t="n">
        <f aca="false">E52+F52</f>
        <v>352.2327</v>
      </c>
      <c r="H52" s="2" t="n">
        <v>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/>
      <c r="R52" s="2"/>
      <c r="S52" s="2" t="s">
        <v>122</v>
      </c>
    </row>
    <row r="53" customFormat="false" ht="15" hidden="false" customHeight="false" outlineLevel="0" collapsed="false">
      <c r="A53" s="2" t="s">
        <v>223</v>
      </c>
      <c r="B53" s="2" t="s">
        <v>224</v>
      </c>
      <c r="C53" s="5" t="n">
        <v>44386</v>
      </c>
      <c r="D53" s="6" t="n">
        <f aca="false">YEAR(C53)</f>
        <v>2021</v>
      </c>
      <c r="E53" s="7" t="n">
        <v>64.8456</v>
      </c>
      <c r="F53" s="7" t="n">
        <v>66.1871</v>
      </c>
      <c r="G53" s="3" t="n">
        <f aca="false">E53+F53</f>
        <v>131.0327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/>
      <c r="R53" s="2"/>
      <c r="S53" s="2" t="s">
        <v>122</v>
      </c>
    </row>
    <row r="54" customFormat="false" ht="15" hidden="false" customHeight="false" outlineLevel="0" collapsed="false">
      <c r="A54" s="2" t="s">
        <v>225</v>
      </c>
      <c r="B54" s="2" t="s">
        <v>226</v>
      </c>
      <c r="C54" s="5" t="n">
        <v>44389</v>
      </c>
      <c r="D54" s="6" t="n">
        <f aca="false">YEAR(C54)</f>
        <v>2021</v>
      </c>
      <c r="E54" s="7" t="n">
        <v>29.33</v>
      </c>
      <c r="F54" s="7" t="n">
        <v>287.7901</v>
      </c>
      <c r="G54" s="3" t="n">
        <f aca="false">E54+F54</f>
        <v>317.1201</v>
      </c>
      <c r="H54" s="2" t="n">
        <v>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/>
      <c r="R54" s="2"/>
      <c r="S54" s="2" t="s">
        <v>122</v>
      </c>
    </row>
    <row r="55" customFormat="false" ht="15" hidden="false" customHeight="false" outlineLevel="0" collapsed="false">
      <c r="A55" s="2" t="s">
        <v>227</v>
      </c>
      <c r="B55" s="2" t="s">
        <v>228</v>
      </c>
      <c r="C55" s="5" t="n">
        <v>44389</v>
      </c>
      <c r="D55" s="6" t="n">
        <f aca="false">YEAR(C55)</f>
        <v>2021</v>
      </c>
      <c r="E55" s="7" t="n">
        <v>109.1974</v>
      </c>
      <c r="F55" s="7" t="n">
        <v>254.7931</v>
      </c>
      <c r="G55" s="3" t="n">
        <f aca="false">E55+F55</f>
        <v>363.9905</v>
      </c>
      <c r="H55" s="2" t="n">
        <v>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/>
      <c r="R55" s="2"/>
      <c r="S55" s="2" t="s">
        <v>122</v>
      </c>
    </row>
    <row r="56" customFormat="false" ht="15" hidden="false" customHeight="false" outlineLevel="0" collapsed="false">
      <c r="A56" s="2" t="s">
        <v>229</v>
      </c>
      <c r="B56" s="2" t="s">
        <v>230</v>
      </c>
      <c r="C56" s="5" t="n">
        <v>44390</v>
      </c>
      <c r="D56" s="6" t="n">
        <f aca="false">YEAR(C56)</f>
        <v>2021</v>
      </c>
      <c r="E56" s="7" t="n">
        <v>1241.3275</v>
      </c>
      <c r="F56" s="7" t="n">
        <v>1547.3318</v>
      </c>
      <c r="G56" s="3" t="n">
        <f aca="false">E56+F56</f>
        <v>2788.6593</v>
      </c>
      <c r="H56" s="2" t="n">
        <v>1</v>
      </c>
      <c r="I56" s="2" t="n">
        <v>0</v>
      </c>
      <c r="J56" s="2" t="n">
        <v>1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/>
      <c r="R56" s="2"/>
      <c r="S56" s="2" t="s">
        <v>122</v>
      </c>
    </row>
    <row r="57" customFormat="false" ht="15" hidden="false" customHeight="false" outlineLevel="0" collapsed="false">
      <c r="A57" s="2" t="s">
        <v>231</v>
      </c>
      <c r="B57" s="2" t="s">
        <v>232</v>
      </c>
      <c r="C57" s="5" t="n">
        <v>44390</v>
      </c>
      <c r="D57" s="6" t="n">
        <f aca="false">YEAR(C57)</f>
        <v>2021</v>
      </c>
      <c r="E57" s="7" t="n">
        <v>53.106</v>
      </c>
      <c r="F57" s="7" t="n">
        <v>477.954</v>
      </c>
      <c r="G57" s="3" t="n">
        <f aca="false">E57+F57</f>
        <v>531.06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/>
      <c r="R57" s="2"/>
      <c r="S57" s="2" t="s">
        <v>122</v>
      </c>
    </row>
    <row r="58" customFormat="false" ht="15" hidden="false" customHeight="false" outlineLevel="0" collapsed="false">
      <c r="A58" s="2" t="s">
        <v>233</v>
      </c>
      <c r="B58" s="2" t="s">
        <v>234</v>
      </c>
      <c r="C58" s="5" t="n">
        <v>44392</v>
      </c>
      <c r="D58" s="6" t="n">
        <f aca="false">YEAR(C58)</f>
        <v>2021</v>
      </c>
      <c r="E58" s="7" t="n">
        <v>198</v>
      </c>
      <c r="F58" s="7" t="n">
        <v>561</v>
      </c>
      <c r="G58" s="3" t="n">
        <f aca="false">E58+F58</f>
        <v>759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/>
      <c r="R58" s="2"/>
      <c r="S58" s="2" t="s">
        <v>122</v>
      </c>
    </row>
    <row r="59" customFormat="false" ht="15" hidden="false" customHeight="false" outlineLevel="0" collapsed="false">
      <c r="A59" s="2" t="s">
        <v>235</v>
      </c>
      <c r="B59" s="2" t="s">
        <v>236</v>
      </c>
      <c r="C59" s="5" t="n">
        <v>44392</v>
      </c>
      <c r="D59" s="6" t="n">
        <f aca="false">YEAR(C59)</f>
        <v>2021</v>
      </c>
      <c r="E59" s="7" t="n">
        <v>76.5</v>
      </c>
      <c r="F59" s="7" t="n">
        <v>740.0641</v>
      </c>
      <c r="G59" s="3" t="n">
        <f aca="false">E59+F59</f>
        <v>816.5641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/>
      <c r="R59" s="2"/>
      <c r="S59" s="2" t="s">
        <v>122</v>
      </c>
    </row>
    <row r="60" customFormat="false" ht="15" hidden="false" customHeight="false" outlineLevel="0" collapsed="false">
      <c r="A60" s="2" t="s">
        <v>237</v>
      </c>
      <c r="B60" s="2" t="s">
        <v>238</v>
      </c>
      <c r="C60" s="5" t="n">
        <v>44392</v>
      </c>
      <c r="D60" s="6" t="n">
        <f aca="false">YEAR(C60)</f>
        <v>2021</v>
      </c>
      <c r="E60" s="7" t="n">
        <v>2109.3056</v>
      </c>
      <c r="F60" s="7" t="n">
        <v>2736.252</v>
      </c>
      <c r="G60" s="3" t="n">
        <f aca="false">E60+F60</f>
        <v>4845.5576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/>
      <c r="R60" s="2"/>
      <c r="S60" s="2" t="s">
        <v>122</v>
      </c>
    </row>
    <row r="61" customFormat="false" ht="15" hidden="false" customHeight="false" outlineLevel="0" collapsed="false">
      <c r="A61" s="2" t="s">
        <v>239</v>
      </c>
      <c r="B61" s="2" t="s">
        <v>240</v>
      </c>
      <c r="C61" s="5" t="n">
        <v>44393</v>
      </c>
      <c r="D61" s="6" t="n">
        <f aca="false">YEAR(C61)</f>
        <v>2021</v>
      </c>
      <c r="E61" s="7" t="n">
        <v>46.125</v>
      </c>
      <c r="F61" s="7" t="n">
        <v>435.4827</v>
      </c>
      <c r="G61" s="3" t="n">
        <f aca="false">E61+F61</f>
        <v>481.6077</v>
      </c>
      <c r="H61" s="2" t="n">
        <v>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/>
      <c r="R61" s="2"/>
      <c r="S61" s="2" t="s">
        <v>122</v>
      </c>
    </row>
    <row r="62" customFormat="false" ht="15" hidden="false" customHeight="false" outlineLevel="0" collapsed="false">
      <c r="A62" s="2" t="s">
        <v>241</v>
      </c>
      <c r="B62" s="2" t="s">
        <v>242</v>
      </c>
      <c r="C62" s="5" t="n">
        <v>44393</v>
      </c>
      <c r="D62" s="6" t="n">
        <f aca="false">YEAR(C62)</f>
        <v>2021</v>
      </c>
      <c r="E62" s="7" t="n">
        <v>94.471</v>
      </c>
      <c r="F62" s="7" t="n">
        <v>944.6905</v>
      </c>
      <c r="G62" s="3" t="n">
        <f aca="false">E62+F62</f>
        <v>1039.1615</v>
      </c>
      <c r="H62" s="2" t="n">
        <v>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/>
      <c r="R62" s="2"/>
      <c r="S62" s="2" t="s">
        <v>122</v>
      </c>
    </row>
    <row r="63" customFormat="false" ht="15" hidden="false" customHeight="false" outlineLevel="0" collapsed="false">
      <c r="A63" s="2" t="s">
        <v>243</v>
      </c>
      <c r="B63" s="2" t="s">
        <v>244</v>
      </c>
      <c r="C63" s="5" t="n">
        <v>44393</v>
      </c>
      <c r="D63" s="6" t="n">
        <f aca="false">YEAR(C63)</f>
        <v>2021</v>
      </c>
      <c r="E63" s="7" t="n">
        <v>193.2</v>
      </c>
      <c r="F63" s="7" t="n">
        <v>450.8</v>
      </c>
      <c r="G63" s="3" t="n">
        <f aca="false">E63+F63</f>
        <v>644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/>
      <c r="R63" s="2"/>
      <c r="S63" s="2" t="s">
        <v>122</v>
      </c>
    </row>
    <row r="64" customFormat="false" ht="15" hidden="false" customHeight="false" outlineLevel="0" collapsed="false">
      <c r="A64" s="2" t="s">
        <v>245</v>
      </c>
      <c r="B64" s="2" t="s">
        <v>246</v>
      </c>
      <c r="C64" s="5" t="n">
        <v>44393</v>
      </c>
      <c r="D64" s="6" t="n">
        <f aca="false">YEAR(C64)</f>
        <v>2021</v>
      </c>
      <c r="E64" s="7" t="n">
        <v>1107.1204</v>
      </c>
      <c r="F64" s="7" t="n">
        <v>1107.1204</v>
      </c>
      <c r="G64" s="3" t="n">
        <f aca="false">E64+F64</f>
        <v>2214.2408</v>
      </c>
      <c r="H64" s="2" t="n">
        <v>0</v>
      </c>
      <c r="I64" s="2" t="n">
        <v>0</v>
      </c>
      <c r="J64" s="2" t="n">
        <v>1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/>
      <c r="R64" s="2"/>
      <c r="S64" s="2" t="s">
        <v>122</v>
      </c>
    </row>
    <row r="65" customFormat="false" ht="15" hidden="false" customHeight="false" outlineLevel="0" collapsed="false">
      <c r="A65" s="2" t="s">
        <v>247</v>
      </c>
      <c r="B65" s="2" t="s">
        <v>248</v>
      </c>
      <c r="C65" s="5" t="n">
        <v>44393</v>
      </c>
      <c r="D65" s="6" t="n">
        <f aca="false">YEAR(C65)</f>
        <v>2021</v>
      </c>
      <c r="E65" s="7" t="n">
        <v>61</v>
      </c>
      <c r="F65" s="7" t="n">
        <v>588.5475</v>
      </c>
      <c r="G65" s="3" t="n">
        <f aca="false">E65+F65</f>
        <v>649.5475</v>
      </c>
      <c r="H65" s="2" t="n">
        <v>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/>
      <c r="R65" s="2"/>
      <c r="S65" s="2" t="s">
        <v>122</v>
      </c>
    </row>
    <row r="66" customFormat="false" ht="15" hidden="false" customHeight="false" outlineLevel="0" collapsed="false">
      <c r="A66" s="2" t="s">
        <v>249</v>
      </c>
      <c r="B66" s="2" t="s">
        <v>250</v>
      </c>
      <c r="C66" s="5" t="n">
        <v>44396</v>
      </c>
      <c r="D66" s="6" t="n">
        <f aca="false">YEAR(C66)</f>
        <v>2021</v>
      </c>
      <c r="E66" s="7" t="n">
        <v>78.375</v>
      </c>
      <c r="F66" s="7" t="n">
        <v>779.1377</v>
      </c>
      <c r="G66" s="3" t="n">
        <f aca="false">E66+F66</f>
        <v>857.5127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/>
      <c r="R66" s="2"/>
      <c r="S66" s="2" t="s">
        <v>122</v>
      </c>
    </row>
    <row r="67" customFormat="false" ht="15" hidden="false" customHeight="false" outlineLevel="0" collapsed="false">
      <c r="A67" s="2" t="s">
        <v>251</v>
      </c>
      <c r="B67" s="2" t="s">
        <v>252</v>
      </c>
      <c r="C67" s="5" t="n">
        <v>44420</v>
      </c>
      <c r="D67" s="6" t="n">
        <f aca="false">YEAR(C67)</f>
        <v>2021</v>
      </c>
      <c r="E67" s="7" t="n">
        <v>1180</v>
      </c>
      <c r="F67" s="7" t="n">
        <v>12256.6246</v>
      </c>
      <c r="G67" s="3" t="n">
        <f aca="false">E67+F67</f>
        <v>13436.6246</v>
      </c>
      <c r="H67" s="2" t="n">
        <v>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/>
      <c r="R67" s="2"/>
      <c r="S67" s="2" t="s">
        <v>122</v>
      </c>
    </row>
    <row r="68" customFormat="false" ht="15" hidden="false" customHeight="false" outlineLevel="0" collapsed="false">
      <c r="A68" s="2" t="s">
        <v>253</v>
      </c>
      <c r="B68" s="2" t="s">
        <v>254</v>
      </c>
      <c r="C68" s="5" t="n">
        <v>44428</v>
      </c>
      <c r="D68" s="6" t="n">
        <f aca="false">YEAR(C68)</f>
        <v>2021</v>
      </c>
      <c r="E68" s="7" t="n">
        <v>564.471</v>
      </c>
      <c r="F68" s="7" t="n">
        <v>564.4453</v>
      </c>
      <c r="G68" s="3" t="n">
        <f aca="false">E68+F68</f>
        <v>1128.9163</v>
      </c>
      <c r="H68" s="2" t="n">
        <v>1</v>
      </c>
      <c r="I68" s="2" t="n">
        <v>0</v>
      </c>
      <c r="J68" s="2" t="n">
        <v>1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/>
      <c r="R68" s="2"/>
      <c r="S68" s="2" t="s">
        <v>122</v>
      </c>
    </row>
    <row r="69" customFormat="false" ht="15" hidden="false" customHeight="false" outlineLevel="0" collapsed="false">
      <c r="A69" s="2" t="s">
        <v>255</v>
      </c>
      <c r="B69" s="2" t="s">
        <v>256</v>
      </c>
      <c r="C69" s="5" t="n">
        <v>44432</v>
      </c>
      <c r="D69" s="6" t="n">
        <f aca="false">YEAR(C69)</f>
        <v>2021</v>
      </c>
      <c r="E69" s="7" t="n">
        <v>816.7684</v>
      </c>
      <c r="F69" s="7" t="n">
        <v>816.697</v>
      </c>
      <c r="G69" s="3" t="n">
        <f aca="false">E69+F69</f>
        <v>1633.4654</v>
      </c>
      <c r="H69" s="2" t="n">
        <v>1</v>
      </c>
      <c r="I69" s="2" t="n">
        <v>0</v>
      </c>
      <c r="J69" s="2" t="n">
        <v>1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/>
      <c r="R69" s="2"/>
      <c r="S69" s="2" t="s">
        <v>122</v>
      </c>
    </row>
    <row r="70" customFormat="false" ht="15" hidden="false" customHeight="false" outlineLevel="0" collapsed="false">
      <c r="A70" s="2" t="s">
        <v>257</v>
      </c>
      <c r="B70" s="2" t="s">
        <v>258</v>
      </c>
      <c r="C70" s="5" t="n">
        <v>44449</v>
      </c>
      <c r="D70" s="6" t="n">
        <f aca="false">YEAR(C70)</f>
        <v>2021</v>
      </c>
      <c r="E70" s="7" t="n">
        <v>798.6091</v>
      </c>
      <c r="F70" s="7" t="n">
        <v>2262.7259</v>
      </c>
      <c r="G70" s="3" t="n">
        <f aca="false">E70+F70</f>
        <v>3061.335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/>
      <c r="R70" s="2"/>
      <c r="S70" s="2" t="s">
        <v>122</v>
      </c>
    </row>
    <row r="71" customFormat="false" ht="15" hidden="false" customHeight="false" outlineLevel="0" collapsed="false">
      <c r="A71" s="2" t="s">
        <v>259</v>
      </c>
      <c r="B71" s="2" t="s">
        <v>260</v>
      </c>
      <c r="C71" s="5" t="n">
        <v>44463</v>
      </c>
      <c r="D71" s="6" t="n">
        <f aca="false">YEAR(C71)</f>
        <v>2021</v>
      </c>
      <c r="E71" s="7" t="n">
        <v>167.0939</v>
      </c>
      <c r="F71" s="7" t="n">
        <v>1503.8447</v>
      </c>
      <c r="G71" s="3" t="n">
        <f aca="false">E71+F71</f>
        <v>1670.9386</v>
      </c>
      <c r="H71" s="2" t="n">
        <v>1</v>
      </c>
      <c r="I71" s="2" t="n">
        <v>0</v>
      </c>
      <c r="J71" s="2" t="n">
        <v>1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/>
      <c r="R71" s="2"/>
      <c r="S71" s="2" t="s">
        <v>122</v>
      </c>
    </row>
    <row r="72" customFormat="false" ht="15" hidden="false" customHeight="false" outlineLevel="0" collapsed="false">
      <c r="A72" s="2" t="s">
        <v>261</v>
      </c>
      <c r="B72" s="2" t="s">
        <v>262</v>
      </c>
      <c r="C72" s="5" t="n">
        <v>44468</v>
      </c>
      <c r="D72" s="6" t="n">
        <f aca="false">YEAR(C72)</f>
        <v>2021</v>
      </c>
      <c r="E72" s="7" t="n">
        <v>204.4944</v>
      </c>
      <c r="F72" s="7" t="n">
        <v>8888.3863</v>
      </c>
      <c r="G72" s="3" t="n">
        <f aca="false">E72+F72</f>
        <v>9092.8807</v>
      </c>
      <c r="H72" s="2" t="n">
        <v>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/>
      <c r="R72" s="2"/>
      <c r="S72" s="2" t="s">
        <v>122</v>
      </c>
    </row>
    <row r="73" customFormat="false" ht="15" hidden="false" customHeight="false" outlineLevel="0" collapsed="false">
      <c r="A73" s="2" t="s">
        <v>263</v>
      </c>
      <c r="B73" s="2" t="s">
        <v>264</v>
      </c>
      <c r="C73" s="5" t="n">
        <v>44468</v>
      </c>
      <c r="D73" s="6" t="n">
        <f aca="false">YEAR(C73)</f>
        <v>2021</v>
      </c>
      <c r="E73" s="7" t="n">
        <v>258.112</v>
      </c>
      <c r="F73" s="7" t="n">
        <v>387.168</v>
      </c>
      <c r="G73" s="3" t="n">
        <f aca="false">E73+F73</f>
        <v>645.28</v>
      </c>
      <c r="H73" s="2" t="n">
        <v>1</v>
      </c>
      <c r="I73" s="2" t="n">
        <v>0</v>
      </c>
      <c r="J73" s="2" t="n">
        <v>1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/>
      <c r="R73" s="2"/>
      <c r="S73" s="2" t="s">
        <v>122</v>
      </c>
    </row>
    <row r="74" customFormat="false" ht="15" hidden="false" customHeight="false" outlineLevel="0" collapsed="false">
      <c r="A74" s="2" t="s">
        <v>265</v>
      </c>
      <c r="B74" s="2" t="s">
        <v>266</v>
      </c>
      <c r="C74" s="5" t="n">
        <v>44476</v>
      </c>
      <c r="D74" s="6" t="n">
        <f aca="false">YEAR(C74)</f>
        <v>2021</v>
      </c>
      <c r="E74" s="7" t="n">
        <v>334.675</v>
      </c>
      <c r="F74" s="7" t="n">
        <v>780.9017</v>
      </c>
      <c r="G74" s="3" t="n">
        <f aca="false">E74+F74</f>
        <v>1115.5767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/>
      <c r="R74" s="2"/>
      <c r="S74" s="2" t="s">
        <v>122</v>
      </c>
    </row>
    <row r="75" customFormat="false" ht="15" hidden="false" customHeight="false" outlineLevel="0" collapsed="false">
      <c r="A75" s="2" t="s">
        <v>267</v>
      </c>
      <c r="B75" s="2" t="s">
        <v>268</v>
      </c>
      <c r="C75" s="5" t="n">
        <v>44482</v>
      </c>
      <c r="D75" s="6" t="n">
        <f aca="false">YEAR(C75)</f>
        <v>2021</v>
      </c>
      <c r="E75" s="7" t="n">
        <v>175.387</v>
      </c>
      <c r="F75" s="7" t="n">
        <v>1579.5791</v>
      </c>
      <c r="G75" s="3" t="n">
        <f aca="false">E75+F75</f>
        <v>1754.9661</v>
      </c>
      <c r="H75" s="2" t="n">
        <v>1</v>
      </c>
      <c r="I75" s="2" t="n">
        <v>0</v>
      </c>
      <c r="J75" s="2" t="n">
        <v>1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/>
      <c r="R75" s="2"/>
      <c r="S75" s="2" t="s">
        <v>122</v>
      </c>
    </row>
    <row r="76" customFormat="false" ht="15" hidden="false" customHeight="false" outlineLevel="0" collapsed="false">
      <c r="A76" s="2" t="s">
        <v>269</v>
      </c>
      <c r="B76" s="2" t="s">
        <v>270</v>
      </c>
      <c r="C76" s="5" t="n">
        <v>44488</v>
      </c>
      <c r="D76" s="6" t="n">
        <f aca="false">YEAR(C76)</f>
        <v>2021</v>
      </c>
      <c r="E76" s="7" t="n">
        <v>193.7665</v>
      </c>
      <c r="F76" s="7" t="n">
        <v>1811.3828</v>
      </c>
      <c r="G76" s="3" t="n">
        <f aca="false">E76+F76</f>
        <v>2005.1493</v>
      </c>
      <c r="H76" s="2" t="n">
        <v>1</v>
      </c>
      <c r="I76" s="2" t="n">
        <v>0</v>
      </c>
      <c r="J76" s="2" t="n">
        <v>1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/>
      <c r="R76" s="2"/>
      <c r="S76" s="2" t="s">
        <v>122</v>
      </c>
    </row>
    <row r="77" customFormat="false" ht="15" hidden="false" customHeight="false" outlineLevel="0" collapsed="false">
      <c r="A77" s="2" t="s">
        <v>271</v>
      </c>
      <c r="B77" s="2" t="s">
        <v>272</v>
      </c>
      <c r="C77" s="5" t="n">
        <v>44502</v>
      </c>
      <c r="D77" s="6" t="n">
        <f aca="false">YEAR(C77)</f>
        <v>2021</v>
      </c>
      <c r="E77" s="7" t="n">
        <v>781.92</v>
      </c>
      <c r="F77" s="7" t="n">
        <v>1016.496</v>
      </c>
      <c r="G77" s="3" t="n">
        <f aca="false">E77+F77</f>
        <v>1798.416</v>
      </c>
      <c r="H77" s="2" t="n">
        <v>1</v>
      </c>
      <c r="I77" s="2" t="n">
        <v>0</v>
      </c>
      <c r="J77" s="2" t="n">
        <v>1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/>
      <c r="R77" s="2"/>
      <c r="S77" s="2" t="s">
        <v>122</v>
      </c>
    </row>
    <row r="78" customFormat="false" ht="15" hidden="false" customHeight="false" outlineLevel="0" collapsed="false">
      <c r="A78" s="2" t="s">
        <v>273</v>
      </c>
      <c r="B78" s="2" t="s">
        <v>274</v>
      </c>
      <c r="C78" s="5" t="n">
        <v>44505</v>
      </c>
      <c r="D78" s="6" t="n">
        <f aca="false">YEAR(C78)</f>
        <v>2021</v>
      </c>
      <c r="E78" s="7" t="n">
        <v>200.7</v>
      </c>
      <c r="F78" s="7" t="n">
        <v>1806.3</v>
      </c>
      <c r="G78" s="3" t="n">
        <f aca="false">E78+F78</f>
        <v>2007</v>
      </c>
      <c r="H78" s="2" t="n">
        <v>1</v>
      </c>
      <c r="I78" s="2" t="n">
        <v>0</v>
      </c>
      <c r="J78" s="2" t="n">
        <v>1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/>
      <c r="R78" s="2"/>
      <c r="S78" s="2" t="s">
        <v>122</v>
      </c>
    </row>
    <row r="79" customFormat="false" ht="15" hidden="false" customHeight="false" outlineLevel="0" collapsed="false">
      <c r="A79" s="2" t="s">
        <v>275</v>
      </c>
      <c r="B79" s="2" t="s">
        <v>276</v>
      </c>
      <c r="C79" s="5" t="n">
        <v>44505</v>
      </c>
      <c r="D79" s="6" t="n">
        <f aca="false">YEAR(C79)</f>
        <v>2021</v>
      </c>
      <c r="E79" s="7" t="n">
        <v>167.2327</v>
      </c>
      <c r="F79" s="7" t="n">
        <v>1505.034</v>
      </c>
      <c r="G79" s="3" t="n">
        <f aca="false">E79+F79</f>
        <v>1672.2667</v>
      </c>
      <c r="H79" s="2" t="n">
        <v>1</v>
      </c>
      <c r="I79" s="2" t="n">
        <v>0</v>
      </c>
      <c r="J79" s="2" t="n">
        <v>1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/>
      <c r="R79" s="2"/>
      <c r="S79" s="2" t="s">
        <v>122</v>
      </c>
    </row>
    <row r="80" customFormat="false" ht="15" hidden="false" customHeight="false" outlineLevel="0" collapsed="false">
      <c r="A80" s="2" t="s">
        <v>277</v>
      </c>
      <c r="B80" s="2" t="s">
        <v>278</v>
      </c>
      <c r="C80" s="5" t="n">
        <v>44508</v>
      </c>
      <c r="D80" s="6" t="n">
        <f aca="false">YEAR(C80)</f>
        <v>2021</v>
      </c>
      <c r="E80" s="7" t="n">
        <v>80.4</v>
      </c>
      <c r="F80" s="7" t="n">
        <v>723.6</v>
      </c>
      <c r="G80" s="3" t="n">
        <f aca="false">E80+F80</f>
        <v>804</v>
      </c>
      <c r="H80" s="2" t="n">
        <v>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/>
      <c r="R80" s="2"/>
      <c r="S80" s="2" t="s">
        <v>122</v>
      </c>
    </row>
    <row r="81" customFormat="false" ht="15" hidden="false" customHeight="false" outlineLevel="0" collapsed="false">
      <c r="A81" s="2" t="s">
        <v>279</v>
      </c>
      <c r="B81" s="2" t="s">
        <v>280</v>
      </c>
      <c r="C81" s="5" t="n">
        <v>44510</v>
      </c>
      <c r="D81" s="6" t="n">
        <f aca="false">YEAR(C81)</f>
        <v>2021</v>
      </c>
      <c r="E81" s="7" t="n">
        <v>30.3644</v>
      </c>
      <c r="F81" s="7" t="n">
        <v>273.24</v>
      </c>
      <c r="G81" s="3" t="n">
        <f aca="false">E81+F81</f>
        <v>303.6044</v>
      </c>
      <c r="H81" s="2" t="n">
        <v>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/>
      <c r="R81" s="2"/>
      <c r="S81" s="2" t="s">
        <v>122</v>
      </c>
    </row>
    <row r="82" customFormat="false" ht="15" hidden="false" customHeight="false" outlineLevel="0" collapsed="false">
      <c r="A82" s="2" t="s">
        <v>281</v>
      </c>
      <c r="B82" s="2" t="s">
        <v>282</v>
      </c>
      <c r="C82" s="5" t="n">
        <v>44511</v>
      </c>
      <c r="D82" s="6" t="n">
        <f aca="false">YEAR(C82)</f>
        <v>2021</v>
      </c>
      <c r="E82" s="7" t="n">
        <v>111.3454</v>
      </c>
      <c r="F82" s="7" t="n">
        <v>1002.1082</v>
      </c>
      <c r="G82" s="3" t="n">
        <f aca="false">E82+F82</f>
        <v>1113.4536</v>
      </c>
      <c r="H82" s="2" t="n">
        <v>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/>
      <c r="R82" s="2"/>
      <c r="S82" s="2" t="s">
        <v>122</v>
      </c>
    </row>
    <row r="83" customFormat="false" ht="15" hidden="false" customHeight="false" outlineLevel="0" collapsed="false">
      <c r="A83" s="2" t="s">
        <v>283</v>
      </c>
      <c r="B83" s="2" t="s">
        <v>284</v>
      </c>
      <c r="C83" s="5" t="n">
        <v>44512</v>
      </c>
      <c r="D83" s="6" t="n">
        <f aca="false">YEAR(C83)</f>
        <v>2021</v>
      </c>
      <c r="E83" s="7" t="n">
        <v>76.5</v>
      </c>
      <c r="F83" s="7" t="n">
        <v>178.5</v>
      </c>
      <c r="G83" s="3" t="n">
        <f aca="false">E83+F83</f>
        <v>255</v>
      </c>
      <c r="H83" s="2" t="n">
        <v>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/>
      <c r="R83" s="2"/>
      <c r="S83" s="2" t="s">
        <v>122</v>
      </c>
    </row>
    <row r="84" customFormat="false" ht="15" hidden="false" customHeight="false" outlineLevel="0" collapsed="false">
      <c r="A84" s="2" t="s">
        <v>285</v>
      </c>
      <c r="B84" s="2" t="s">
        <v>286</v>
      </c>
      <c r="C84" s="5" t="n">
        <v>44532</v>
      </c>
      <c r="D84" s="6" t="n">
        <f aca="false">YEAR(C84)</f>
        <v>2021</v>
      </c>
      <c r="E84" s="7" t="n">
        <v>328</v>
      </c>
      <c r="F84" s="7" t="n">
        <v>2952</v>
      </c>
      <c r="G84" s="3" t="n">
        <f aca="false">E84+F84</f>
        <v>3280</v>
      </c>
      <c r="H84" s="2" t="n">
        <v>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/>
      <c r="R84" s="2"/>
      <c r="S84" s="2" t="s">
        <v>122</v>
      </c>
    </row>
    <row r="85" customFormat="false" ht="15" hidden="false" customHeight="false" outlineLevel="0" collapsed="false">
      <c r="A85" s="2" t="s">
        <v>287</v>
      </c>
      <c r="B85" s="2" t="s">
        <v>288</v>
      </c>
      <c r="C85" s="5" t="n">
        <v>44538</v>
      </c>
      <c r="D85" s="6" t="n">
        <f aca="false">YEAR(C85)</f>
        <v>2021</v>
      </c>
      <c r="E85" s="7" t="n">
        <v>300.08</v>
      </c>
      <c r="F85" s="7" t="n">
        <v>3097.2675</v>
      </c>
      <c r="G85" s="3" t="n">
        <f aca="false">E85+F85</f>
        <v>3397.3475</v>
      </c>
      <c r="H85" s="2" t="n">
        <v>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/>
      <c r="R85" s="2"/>
      <c r="S85" s="2" t="s">
        <v>122</v>
      </c>
    </row>
    <row r="86" customFormat="false" ht="15" hidden="false" customHeight="false" outlineLevel="0" collapsed="false">
      <c r="A86" s="2" t="s">
        <v>289</v>
      </c>
      <c r="B86" s="2" t="s">
        <v>290</v>
      </c>
      <c r="C86" s="5" t="n">
        <v>44540</v>
      </c>
      <c r="D86" s="6" t="n">
        <f aca="false">YEAR(C86)</f>
        <v>2021</v>
      </c>
      <c r="E86" s="7" t="n">
        <v>714.5408</v>
      </c>
      <c r="F86" s="7" t="n">
        <v>6921.6484</v>
      </c>
      <c r="G86" s="3" t="n">
        <f aca="false">E86+F86</f>
        <v>7636.1892</v>
      </c>
      <c r="H86" s="2" t="n">
        <v>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/>
      <c r="R86" s="2"/>
      <c r="S86" s="2" t="s">
        <v>122</v>
      </c>
    </row>
    <row r="87" customFormat="false" ht="15" hidden="false" customHeight="false" outlineLevel="0" collapsed="false">
      <c r="A87" s="2" t="s">
        <v>291</v>
      </c>
      <c r="B87" s="2" t="s">
        <v>292</v>
      </c>
      <c r="C87" s="5" t="n">
        <v>44540</v>
      </c>
      <c r="D87" s="6" t="n">
        <f aca="false">YEAR(C87)</f>
        <v>2021</v>
      </c>
      <c r="E87" s="7" t="n">
        <v>68.5247</v>
      </c>
      <c r="F87" s="7" t="n">
        <v>616.6125</v>
      </c>
      <c r="G87" s="3" t="n">
        <f aca="false">E87+F87</f>
        <v>685.1372</v>
      </c>
      <c r="H87" s="2" t="n">
        <v>1</v>
      </c>
      <c r="I87" s="2" t="n">
        <v>0</v>
      </c>
      <c r="J87" s="2" t="n">
        <v>1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/>
      <c r="R87" s="2"/>
      <c r="S87" s="2" t="s">
        <v>122</v>
      </c>
    </row>
    <row r="88" customFormat="false" ht="15" hidden="false" customHeight="false" outlineLevel="0" collapsed="false">
      <c r="A88" s="2" t="s">
        <v>293</v>
      </c>
      <c r="B88" s="2" t="s">
        <v>294</v>
      </c>
      <c r="C88" s="5" t="n">
        <v>44540</v>
      </c>
      <c r="D88" s="6" t="n">
        <f aca="false">YEAR(C88)</f>
        <v>2021</v>
      </c>
      <c r="E88" s="7" t="n">
        <v>80.8462</v>
      </c>
      <c r="F88" s="7" t="n">
        <v>727.6158</v>
      </c>
      <c r="G88" s="3" t="n">
        <f aca="false">E88+F88</f>
        <v>808.462</v>
      </c>
      <c r="H88" s="2" t="n">
        <v>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/>
      <c r="R88" s="2"/>
      <c r="S88" s="2" t="s">
        <v>122</v>
      </c>
    </row>
    <row r="89" customFormat="false" ht="15" hidden="false" customHeight="false" outlineLevel="0" collapsed="false">
      <c r="A89" s="2" t="s">
        <v>295</v>
      </c>
      <c r="B89" s="2" t="s">
        <v>296</v>
      </c>
      <c r="C89" s="5" t="n">
        <v>44543</v>
      </c>
      <c r="D89" s="6" t="n">
        <f aca="false">YEAR(C89)</f>
        <v>2021</v>
      </c>
      <c r="E89" s="7" t="n">
        <v>745.9496</v>
      </c>
      <c r="F89" s="7" t="n">
        <v>858.5167</v>
      </c>
      <c r="G89" s="3" t="n">
        <f aca="false">E89+F89</f>
        <v>1604.4663</v>
      </c>
      <c r="H89" s="2" t="n">
        <v>0</v>
      </c>
      <c r="I89" s="2" t="n">
        <v>0</v>
      </c>
      <c r="J89" s="2" t="n">
        <v>1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/>
      <c r="R89" s="2"/>
      <c r="S89" s="2" t="s">
        <v>122</v>
      </c>
    </row>
    <row r="90" customFormat="false" ht="15" hidden="false" customHeight="false" outlineLevel="0" collapsed="false">
      <c r="A90" s="2" t="s">
        <v>297</v>
      </c>
      <c r="B90" s="2" t="s">
        <v>298</v>
      </c>
      <c r="C90" s="5" t="n">
        <v>44544</v>
      </c>
      <c r="D90" s="6" t="n">
        <f aca="false">YEAR(C90)</f>
        <v>2021</v>
      </c>
      <c r="E90" s="7" t="n">
        <v>215.4008</v>
      </c>
      <c r="F90" s="7" t="n">
        <v>1938.5879</v>
      </c>
      <c r="G90" s="3" t="n">
        <f aca="false">E90+F90</f>
        <v>2153.9887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/>
      <c r="R90" s="2"/>
      <c r="S90" s="2" t="s">
        <v>122</v>
      </c>
    </row>
    <row r="91" customFormat="false" ht="15" hidden="false" customHeight="false" outlineLevel="0" collapsed="false">
      <c r="A91" s="2" t="s">
        <v>299</v>
      </c>
      <c r="B91" s="2" t="s">
        <v>300</v>
      </c>
      <c r="C91" s="5" t="n">
        <v>44546</v>
      </c>
      <c r="D91" s="6" t="n">
        <f aca="false">YEAR(C91)</f>
        <v>2021</v>
      </c>
      <c r="E91" s="7" t="n">
        <v>54.2336</v>
      </c>
      <c r="F91" s="7" t="n">
        <v>488.1024</v>
      </c>
      <c r="G91" s="3" t="n">
        <f aca="false">E91+F91</f>
        <v>542.336</v>
      </c>
      <c r="H91" s="2" t="n">
        <v>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/>
      <c r="R91" s="2"/>
      <c r="S91" s="2" t="s">
        <v>122</v>
      </c>
    </row>
    <row r="92" customFormat="false" ht="15" hidden="false" customHeight="false" outlineLevel="0" collapsed="false">
      <c r="A92" s="2" t="s">
        <v>301</v>
      </c>
      <c r="B92" s="2" t="s">
        <v>302</v>
      </c>
      <c r="C92" s="5" t="n">
        <v>44546</v>
      </c>
      <c r="D92" s="6" t="n">
        <f aca="false">YEAR(C92)</f>
        <v>2021</v>
      </c>
      <c r="E92" s="7" t="n">
        <v>95.2</v>
      </c>
      <c r="F92" s="7" t="n">
        <v>927.7016</v>
      </c>
      <c r="G92" s="3" t="n">
        <f aca="false">E92+F92</f>
        <v>1022.9016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/>
      <c r="R92" s="2"/>
      <c r="S92" s="2" t="s">
        <v>122</v>
      </c>
    </row>
    <row r="93" customFormat="false" ht="15" hidden="false" customHeight="false" outlineLevel="0" collapsed="false">
      <c r="A93" s="2" t="s">
        <v>303</v>
      </c>
      <c r="B93" s="2" t="s">
        <v>304</v>
      </c>
      <c r="C93" s="5" t="n">
        <v>44547</v>
      </c>
      <c r="D93" s="6" t="n">
        <f aca="false">YEAR(C93)</f>
        <v>2021</v>
      </c>
      <c r="E93" s="7" t="n">
        <v>16.65</v>
      </c>
      <c r="F93" s="7" t="n">
        <v>164.6441</v>
      </c>
      <c r="G93" s="3" t="n">
        <f aca="false">E93+F93</f>
        <v>181.2941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/>
      <c r="R93" s="2"/>
      <c r="S93" s="2" t="s">
        <v>122</v>
      </c>
    </row>
    <row r="94" customFormat="false" ht="15" hidden="false" customHeight="false" outlineLevel="0" collapsed="false">
      <c r="A94" s="2" t="s">
        <v>305</v>
      </c>
      <c r="B94" s="2" t="s">
        <v>306</v>
      </c>
      <c r="C94" s="5" t="n">
        <v>44553</v>
      </c>
      <c r="D94" s="6" t="n">
        <f aca="false">YEAR(C94)</f>
        <v>2021</v>
      </c>
      <c r="E94" s="7" t="n">
        <v>50.8725</v>
      </c>
      <c r="F94" s="7" t="n">
        <v>457.7887</v>
      </c>
      <c r="G94" s="3" t="n">
        <f aca="false">E94+F94</f>
        <v>508.6612</v>
      </c>
      <c r="H94" s="2" t="n">
        <v>1</v>
      </c>
      <c r="I94" s="2" t="n">
        <v>0</v>
      </c>
      <c r="J94" s="2" t="n">
        <v>1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/>
      <c r="R94" s="2"/>
      <c r="S94" s="2" t="s">
        <v>122</v>
      </c>
    </row>
    <row r="95" customFormat="false" ht="15" hidden="false" customHeight="false" outlineLevel="0" collapsed="false">
      <c r="A95" s="2" t="s">
        <v>307</v>
      </c>
      <c r="B95" s="2" t="s">
        <v>308</v>
      </c>
      <c r="C95" s="5" t="n">
        <v>44560</v>
      </c>
      <c r="D95" s="6" t="n">
        <f aca="false">YEAR(C95)</f>
        <v>2021</v>
      </c>
      <c r="E95" s="7" t="n">
        <v>313.5538</v>
      </c>
      <c r="F95" s="7" t="n">
        <v>3292.3145</v>
      </c>
      <c r="G95" s="3" t="n">
        <f aca="false">E95+F95</f>
        <v>3605.8683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/>
      <c r="R95" s="2"/>
      <c r="S95" s="2" t="s">
        <v>122</v>
      </c>
    </row>
    <row r="96" customFormat="false" ht="15" hidden="false" customHeight="false" outlineLevel="0" collapsed="false">
      <c r="A96" s="2" t="s">
        <v>309</v>
      </c>
      <c r="B96" s="2" t="s">
        <v>310</v>
      </c>
      <c r="C96" s="5" t="n">
        <v>44560</v>
      </c>
      <c r="D96" s="6" t="n">
        <f aca="false">YEAR(C96)</f>
        <v>2021</v>
      </c>
      <c r="E96" s="7" t="n">
        <v>577.5</v>
      </c>
      <c r="F96" s="7" t="n">
        <v>6063.75</v>
      </c>
      <c r="G96" s="3" t="n">
        <f aca="false">E96+F96</f>
        <v>6641.25</v>
      </c>
      <c r="H96" s="2" t="n">
        <v>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/>
      <c r="R96" s="2"/>
      <c r="S96" s="2" t="s">
        <v>122</v>
      </c>
    </row>
    <row r="97" customFormat="false" ht="15" hidden="false" customHeight="false" outlineLevel="0" collapsed="false">
      <c r="A97" s="2" t="s">
        <v>311</v>
      </c>
      <c r="B97" s="2" t="s">
        <v>312</v>
      </c>
      <c r="C97" s="5" t="n">
        <v>44560</v>
      </c>
      <c r="D97" s="6" t="n">
        <f aca="false">YEAR(C97)</f>
        <v>2021</v>
      </c>
      <c r="E97" s="7" t="n">
        <v>49.6886</v>
      </c>
      <c r="F97" s="7" t="n">
        <v>511.3478</v>
      </c>
      <c r="G97" s="3" t="n">
        <f aca="false">E97+F97</f>
        <v>561.0364</v>
      </c>
      <c r="H97" s="2" t="n">
        <v>1</v>
      </c>
      <c r="I97" s="2" t="n">
        <v>0</v>
      </c>
      <c r="J97" s="2" t="n">
        <v>1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/>
      <c r="R97" s="2"/>
      <c r="S97" s="2" t="s">
        <v>122</v>
      </c>
    </row>
    <row r="98" customFormat="false" ht="15" hidden="false" customHeight="false" outlineLevel="0" collapsed="false">
      <c r="A98" s="2" t="s">
        <v>313</v>
      </c>
      <c r="B98" s="2" t="s">
        <v>314</v>
      </c>
      <c r="C98" s="5" t="n">
        <v>44561</v>
      </c>
      <c r="D98" s="6" t="n">
        <f aca="false">YEAR(C98)</f>
        <v>2021</v>
      </c>
      <c r="E98" s="7" t="n">
        <v>0</v>
      </c>
      <c r="F98" s="7" t="n">
        <v>0</v>
      </c>
      <c r="G98" s="3" t="n">
        <f aca="false">E98+F98</f>
        <v>0</v>
      </c>
      <c r="H98" s="2" t="n">
        <v>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/>
      <c r="R98" s="2"/>
      <c r="S98" s="2" t="s">
        <v>122</v>
      </c>
    </row>
    <row r="99" customFormat="false" ht="15" hidden="false" customHeight="false" outlineLevel="0" collapsed="false">
      <c r="A99" s="2" t="s">
        <v>315</v>
      </c>
      <c r="B99" s="2" t="s">
        <v>316</v>
      </c>
      <c r="C99" s="5" t="n">
        <v>44572</v>
      </c>
      <c r="D99" s="6" t="n">
        <f aca="false">YEAR(C99)</f>
        <v>2022</v>
      </c>
      <c r="E99" s="7" t="n">
        <v>13.9324</v>
      </c>
      <c r="F99" s="7" t="n">
        <v>129.5908</v>
      </c>
      <c r="G99" s="3" t="n">
        <f aca="false">E99+F99</f>
        <v>143.5232</v>
      </c>
      <c r="H99" s="2" t="n">
        <v>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/>
      <c r="R99" s="2"/>
      <c r="S99" s="2" t="s">
        <v>317</v>
      </c>
    </row>
    <row r="100" customFormat="false" ht="15" hidden="false" customHeight="false" outlineLevel="0" collapsed="false">
      <c r="A100" s="2" t="s">
        <v>318</v>
      </c>
      <c r="B100" s="2" t="s">
        <v>319</v>
      </c>
      <c r="C100" s="5" t="n">
        <v>44575</v>
      </c>
      <c r="D100" s="6" t="n">
        <f aca="false">YEAR(C100)</f>
        <v>2022</v>
      </c>
      <c r="E100" s="7" t="n">
        <v>848.1637</v>
      </c>
      <c r="F100" s="7" t="n">
        <v>3392.5871</v>
      </c>
      <c r="G100" s="3" t="n">
        <f aca="false">E100+F100</f>
        <v>4240.7508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/>
      <c r="R100" s="2"/>
      <c r="S100" s="2" t="s">
        <v>317</v>
      </c>
    </row>
    <row r="101" customFormat="false" ht="15" hidden="false" customHeight="false" outlineLevel="0" collapsed="false">
      <c r="A101" s="2" t="s">
        <v>320</v>
      </c>
      <c r="B101" s="2" t="s">
        <v>321</v>
      </c>
      <c r="C101" s="5" t="n">
        <v>44578</v>
      </c>
      <c r="D101" s="6" t="n">
        <f aca="false">YEAR(C101)</f>
        <v>2022</v>
      </c>
      <c r="E101" s="7" t="n">
        <v>24.6</v>
      </c>
      <c r="F101" s="7" t="n">
        <v>221.4</v>
      </c>
      <c r="G101" s="3" t="n">
        <f aca="false">E101+F101</f>
        <v>246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/>
      <c r="R101" s="2"/>
      <c r="S101" s="2" t="s">
        <v>317</v>
      </c>
    </row>
    <row r="102" customFormat="false" ht="15" hidden="false" customHeight="false" outlineLevel="0" collapsed="false">
      <c r="A102" s="2" t="s">
        <v>322</v>
      </c>
      <c r="B102" s="2" t="s">
        <v>323</v>
      </c>
      <c r="C102" s="5" t="n">
        <v>44588</v>
      </c>
      <c r="D102" s="6" t="n">
        <f aca="false">YEAR(C102)</f>
        <v>2022</v>
      </c>
      <c r="E102" s="7" t="n">
        <v>117.682</v>
      </c>
      <c r="F102" s="7" t="n">
        <v>1059.0957</v>
      </c>
      <c r="G102" s="3" t="n">
        <f aca="false">E102+F102</f>
        <v>1176.7777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/>
      <c r="R102" s="2"/>
      <c r="S102" s="2" t="s">
        <v>317</v>
      </c>
    </row>
    <row r="103" customFormat="false" ht="15" hidden="false" customHeight="false" outlineLevel="0" collapsed="false">
      <c r="A103" s="2" t="s">
        <v>324</v>
      </c>
      <c r="B103" s="2" t="s">
        <v>325</v>
      </c>
      <c r="C103" s="5" t="n">
        <v>44610</v>
      </c>
      <c r="D103" s="6" t="n">
        <f aca="false">YEAR(C103)</f>
        <v>2022</v>
      </c>
      <c r="E103" s="7" t="n">
        <v>21.76</v>
      </c>
      <c r="F103" s="7" t="n">
        <v>195.84</v>
      </c>
      <c r="G103" s="3" t="n">
        <f aca="false">E103+F103</f>
        <v>217.6</v>
      </c>
      <c r="H103" s="2" t="n">
        <v>0</v>
      </c>
      <c r="I103" s="2" t="n">
        <v>0</v>
      </c>
      <c r="J103" s="2" t="n">
        <v>1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/>
      <c r="R103" s="2"/>
      <c r="S103" s="2" t="s">
        <v>317</v>
      </c>
    </row>
    <row r="104" customFormat="false" ht="15" hidden="false" customHeight="false" outlineLevel="0" collapsed="false">
      <c r="A104" s="2" t="s">
        <v>326</v>
      </c>
      <c r="B104" s="2" t="s">
        <v>327</v>
      </c>
      <c r="C104" s="5" t="n">
        <v>44610</v>
      </c>
      <c r="D104" s="6" t="n">
        <f aca="false">YEAR(C104)</f>
        <v>2022</v>
      </c>
      <c r="E104" s="7" t="n">
        <v>221.9101</v>
      </c>
      <c r="F104" s="7" t="n">
        <v>2096.2973</v>
      </c>
      <c r="G104" s="3" t="n">
        <f aca="false">E104+F104</f>
        <v>2318.2074</v>
      </c>
      <c r="H104" s="2" t="n">
        <v>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/>
      <c r="R104" s="2"/>
      <c r="S104" s="2" t="s">
        <v>317</v>
      </c>
    </row>
    <row r="105" customFormat="false" ht="15" hidden="false" customHeight="false" outlineLevel="0" collapsed="false">
      <c r="A105" s="2" t="s">
        <v>328</v>
      </c>
      <c r="B105" s="2" t="s">
        <v>329</v>
      </c>
      <c r="C105" s="5" t="n">
        <v>44615</v>
      </c>
      <c r="D105" s="6" t="n">
        <f aca="false">YEAR(C105)</f>
        <v>2022</v>
      </c>
      <c r="E105" s="7" t="n">
        <v>90.4654</v>
      </c>
      <c r="F105" s="7" t="n">
        <v>820.5703</v>
      </c>
      <c r="G105" s="3" t="n">
        <f aca="false">E105+F105</f>
        <v>911.0357</v>
      </c>
      <c r="H105" s="2" t="n">
        <v>1</v>
      </c>
      <c r="I105" s="2" t="n">
        <v>0</v>
      </c>
      <c r="J105" s="2" t="n">
        <v>1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/>
      <c r="R105" s="2"/>
      <c r="S105" s="2" t="s">
        <v>317</v>
      </c>
    </row>
    <row r="106" customFormat="false" ht="15" hidden="false" customHeight="false" outlineLevel="0" collapsed="false">
      <c r="A106" s="2" t="s">
        <v>330</v>
      </c>
      <c r="B106" s="2" t="s">
        <v>331</v>
      </c>
      <c r="C106" s="5" t="n">
        <v>44627</v>
      </c>
      <c r="D106" s="6" t="n">
        <f aca="false">YEAR(C106)</f>
        <v>2022</v>
      </c>
      <c r="E106" s="7" t="n">
        <v>0</v>
      </c>
      <c r="F106" s="7" t="n">
        <v>0</v>
      </c>
      <c r="G106" s="3" t="n">
        <f aca="false">E106+F106</f>
        <v>0</v>
      </c>
      <c r="H106" s="2" t="n">
        <v>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/>
      <c r="R106" s="2"/>
      <c r="S106" s="2" t="s">
        <v>317</v>
      </c>
    </row>
    <row r="107" customFormat="false" ht="15" hidden="false" customHeight="false" outlineLevel="0" collapsed="false">
      <c r="A107" s="2" t="s">
        <v>332</v>
      </c>
      <c r="B107" s="2" t="s">
        <v>333</v>
      </c>
      <c r="C107" s="5" t="n">
        <v>44630</v>
      </c>
      <c r="D107" s="6" t="n">
        <f aca="false">YEAR(C107)</f>
        <v>2022</v>
      </c>
      <c r="E107" s="7" t="n">
        <v>82.5559</v>
      </c>
      <c r="F107" s="7" t="n">
        <v>765.5426</v>
      </c>
      <c r="G107" s="3" t="n">
        <f aca="false">E107+F107</f>
        <v>848.0985</v>
      </c>
      <c r="H107" s="2" t="n">
        <v>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/>
      <c r="R107" s="2"/>
      <c r="S107" s="2" t="s">
        <v>317</v>
      </c>
    </row>
    <row r="108" customFormat="false" ht="15" hidden="false" customHeight="false" outlineLevel="0" collapsed="false">
      <c r="A108" s="2" t="s">
        <v>334</v>
      </c>
      <c r="B108" s="2" t="s">
        <v>335</v>
      </c>
      <c r="C108" s="5" t="n">
        <v>44630</v>
      </c>
      <c r="D108" s="6" t="n">
        <f aca="false">YEAR(C108)</f>
        <v>2022</v>
      </c>
      <c r="E108" s="7" t="n">
        <v>0</v>
      </c>
      <c r="F108" s="7" t="n">
        <v>0</v>
      </c>
      <c r="G108" s="3" t="n">
        <f aca="false">E108+F108</f>
        <v>0</v>
      </c>
      <c r="H108" s="2" t="n">
        <v>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/>
      <c r="R108" s="2"/>
      <c r="S108" s="2" t="s">
        <v>317</v>
      </c>
    </row>
    <row r="109" customFormat="false" ht="15" hidden="false" customHeight="false" outlineLevel="0" collapsed="false">
      <c r="A109" s="2" t="s">
        <v>336</v>
      </c>
      <c r="B109" s="2" t="s">
        <v>337</v>
      </c>
      <c r="C109" s="5" t="n">
        <v>44638</v>
      </c>
      <c r="D109" s="6" t="n">
        <f aca="false">YEAR(C109)</f>
        <v>2022</v>
      </c>
      <c r="E109" s="7" t="n">
        <v>0</v>
      </c>
      <c r="F109" s="7" t="n">
        <v>1000.65</v>
      </c>
      <c r="G109" s="3" t="n">
        <f aca="false">E109+F109</f>
        <v>1000.65</v>
      </c>
      <c r="H109" s="2" t="n">
        <v>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/>
      <c r="R109" s="2"/>
      <c r="S109" s="2" t="s">
        <v>317</v>
      </c>
    </row>
    <row r="110" customFormat="false" ht="15" hidden="false" customHeight="false" outlineLevel="0" collapsed="false">
      <c r="A110" s="2" t="s">
        <v>338</v>
      </c>
      <c r="B110" s="2" t="s">
        <v>339</v>
      </c>
      <c r="C110" s="5" t="n">
        <v>44642</v>
      </c>
      <c r="D110" s="6" t="n">
        <f aca="false">YEAR(C110)</f>
        <v>2022</v>
      </c>
      <c r="E110" s="7" t="n">
        <v>68.0269</v>
      </c>
      <c r="F110" s="7" t="n">
        <v>612.2052</v>
      </c>
      <c r="G110" s="3" t="n">
        <f aca="false">E110+F110</f>
        <v>680.2321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/>
      <c r="R110" s="2"/>
      <c r="S110" s="2" t="s">
        <v>317</v>
      </c>
    </row>
    <row r="111" customFormat="false" ht="15" hidden="false" customHeight="false" outlineLevel="0" collapsed="false">
      <c r="A111" s="2" t="s">
        <v>340</v>
      </c>
      <c r="B111" s="2" t="s">
        <v>341</v>
      </c>
      <c r="C111" s="5" t="n">
        <v>44648</v>
      </c>
      <c r="D111" s="6" t="n">
        <f aca="false">YEAR(C111)</f>
        <v>2022</v>
      </c>
      <c r="E111" s="7" t="n">
        <v>0</v>
      </c>
      <c r="F111" s="7" t="n">
        <v>0</v>
      </c>
      <c r="G111" s="3" t="n">
        <f aca="false">E111+F111</f>
        <v>0</v>
      </c>
      <c r="H111" s="2" t="n">
        <v>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/>
      <c r="R111" s="2"/>
      <c r="S111" s="2" t="s">
        <v>317</v>
      </c>
    </row>
    <row r="112" customFormat="false" ht="15" hidden="false" customHeight="false" outlineLevel="0" collapsed="false">
      <c r="A112" s="2" t="s">
        <v>342</v>
      </c>
      <c r="B112" s="2" t="s">
        <v>343</v>
      </c>
      <c r="C112" s="5" t="n">
        <v>44650</v>
      </c>
      <c r="D112" s="6" t="n">
        <f aca="false">YEAR(C112)</f>
        <v>2022</v>
      </c>
      <c r="E112" s="7" t="n">
        <v>0</v>
      </c>
      <c r="F112" s="7" t="n">
        <v>0</v>
      </c>
      <c r="G112" s="3" t="n">
        <f aca="false">E112+F112</f>
        <v>0</v>
      </c>
      <c r="H112" s="2" t="n">
        <v>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/>
      <c r="R112" s="2"/>
      <c r="S112" s="2" t="s">
        <v>317</v>
      </c>
    </row>
    <row r="113" customFormat="false" ht="15" hidden="false" customHeight="false" outlineLevel="0" collapsed="false">
      <c r="A113" s="2" t="s">
        <v>344</v>
      </c>
      <c r="B113" s="2" t="s">
        <v>345</v>
      </c>
      <c r="C113" s="5" t="n">
        <v>44651</v>
      </c>
      <c r="D113" s="6" t="n">
        <f aca="false">YEAR(C113)</f>
        <v>2022</v>
      </c>
      <c r="E113" s="7" t="n">
        <v>191.231</v>
      </c>
      <c r="F113" s="7" t="n">
        <v>1816.4363</v>
      </c>
      <c r="G113" s="3" t="n">
        <f aca="false">E113+F113</f>
        <v>2007.6673</v>
      </c>
      <c r="H113" s="2" t="n">
        <v>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/>
      <c r="R113" s="2"/>
      <c r="S113" s="2" t="s">
        <v>317</v>
      </c>
    </row>
    <row r="114" customFormat="false" ht="15" hidden="false" customHeight="false" outlineLevel="0" collapsed="false">
      <c r="A114" s="2" t="s">
        <v>346</v>
      </c>
      <c r="B114" s="2" t="s">
        <v>347</v>
      </c>
      <c r="C114" s="5" t="n">
        <v>44651</v>
      </c>
      <c r="D114" s="6" t="n">
        <f aca="false">YEAR(C114)</f>
        <v>2022</v>
      </c>
      <c r="E114" s="7" t="n">
        <v>76.5204</v>
      </c>
      <c r="F114" s="7" t="n">
        <v>784.362</v>
      </c>
      <c r="G114" s="3" t="n">
        <f aca="false">E114+F114</f>
        <v>860.8824</v>
      </c>
      <c r="H114" s="2" t="n">
        <v>1</v>
      </c>
      <c r="I114" s="2" t="n">
        <v>0</v>
      </c>
      <c r="J114" s="2" t="n">
        <v>1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/>
      <c r="R114" s="2"/>
      <c r="S114" s="2" t="s">
        <v>317</v>
      </c>
    </row>
    <row r="115" customFormat="false" ht="15" hidden="false" customHeight="false" outlineLevel="0" collapsed="false">
      <c r="A115" s="2" t="s">
        <v>348</v>
      </c>
      <c r="B115" s="2" t="s">
        <v>349</v>
      </c>
      <c r="C115" s="5" t="n">
        <v>44651</v>
      </c>
      <c r="D115" s="6" t="n">
        <f aca="false">YEAR(C115)</f>
        <v>2022</v>
      </c>
      <c r="E115" s="7" t="n">
        <v>20.5</v>
      </c>
      <c r="F115" s="7" t="n">
        <v>184.5</v>
      </c>
      <c r="G115" s="3" t="n">
        <f aca="false">E115+F115</f>
        <v>205</v>
      </c>
      <c r="H115" s="2" t="n">
        <v>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s">
        <v>350</v>
      </c>
      <c r="R115" s="2"/>
      <c r="S115" s="2" t="s">
        <v>317</v>
      </c>
    </row>
    <row r="116" customFormat="false" ht="15" hidden="false" customHeight="false" outlineLevel="0" collapsed="false">
      <c r="A116" s="2" t="s">
        <v>351</v>
      </c>
      <c r="B116" s="2" t="s">
        <v>352</v>
      </c>
      <c r="C116" s="5" t="n">
        <v>44673</v>
      </c>
      <c r="D116" s="6" t="n">
        <f aca="false">YEAR(C116)</f>
        <v>2022</v>
      </c>
      <c r="E116" s="7" t="n">
        <v>83.356</v>
      </c>
      <c r="F116" s="7" t="n">
        <v>750.204</v>
      </c>
      <c r="G116" s="3" t="n">
        <f aca="false">E116+F116</f>
        <v>833.56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/>
      <c r="R116" s="2"/>
      <c r="S116" s="2" t="s">
        <v>317</v>
      </c>
    </row>
    <row r="117" customFormat="false" ht="15" hidden="false" customHeight="false" outlineLevel="0" collapsed="false">
      <c r="A117" s="2" t="s">
        <v>353</v>
      </c>
      <c r="B117" s="2" t="s">
        <v>354</v>
      </c>
      <c r="C117" s="5" t="n">
        <v>44680</v>
      </c>
      <c r="D117" s="6" t="n">
        <f aca="false">YEAR(C117)</f>
        <v>2022</v>
      </c>
      <c r="E117" s="7" t="n">
        <v>19.8349</v>
      </c>
      <c r="F117" s="7" t="n">
        <v>182.3564</v>
      </c>
      <c r="G117" s="3" t="n">
        <f aca="false">E117+F117</f>
        <v>202.1913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/>
      <c r="R117" s="2"/>
      <c r="S117" s="2" t="s">
        <v>317</v>
      </c>
    </row>
    <row r="118" customFormat="false" ht="15" hidden="false" customHeight="false" outlineLevel="0" collapsed="false">
      <c r="A118" s="2" t="s">
        <v>355</v>
      </c>
      <c r="B118" s="2" t="s">
        <v>356</v>
      </c>
      <c r="C118" s="5" t="n">
        <v>44692</v>
      </c>
      <c r="D118" s="6" t="n">
        <f aca="false">YEAR(C118)</f>
        <v>2022</v>
      </c>
      <c r="E118" s="7" t="n">
        <v>0</v>
      </c>
      <c r="F118" s="7" t="n">
        <v>0</v>
      </c>
      <c r="G118" s="3" t="n">
        <f aca="false">E118+F118</f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/>
      <c r="R118" s="2"/>
      <c r="S118" s="2" t="s">
        <v>317</v>
      </c>
    </row>
    <row r="119" customFormat="false" ht="15" hidden="false" customHeight="false" outlineLevel="0" collapsed="false">
      <c r="A119" s="2" t="s">
        <v>357</v>
      </c>
      <c r="B119" s="2" t="s">
        <v>358</v>
      </c>
      <c r="C119" s="5" t="n">
        <v>44699</v>
      </c>
      <c r="D119" s="6" t="n">
        <f aca="false">YEAR(C119)</f>
        <v>2022</v>
      </c>
      <c r="E119" s="7" t="n">
        <v>109.0319</v>
      </c>
      <c r="F119" s="7" t="n">
        <v>1044.8845</v>
      </c>
      <c r="G119" s="3" t="n">
        <f aca="false">E119+F119</f>
        <v>1153.9164</v>
      </c>
      <c r="H119" s="2" t="n">
        <v>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/>
      <c r="R119" s="2"/>
      <c r="S119" s="2" t="s">
        <v>317</v>
      </c>
    </row>
    <row r="120" customFormat="false" ht="15" hidden="false" customHeight="false" outlineLevel="0" collapsed="false">
      <c r="A120" s="2" t="s">
        <v>359</v>
      </c>
      <c r="B120" s="2" t="s">
        <v>360</v>
      </c>
      <c r="C120" s="5" t="n">
        <v>44722</v>
      </c>
      <c r="D120" s="6" t="n">
        <f aca="false">YEAR(C120)</f>
        <v>2022</v>
      </c>
      <c r="E120" s="7" t="n">
        <v>11.55</v>
      </c>
      <c r="F120" s="7" t="n">
        <v>103.95</v>
      </c>
      <c r="G120" s="3" t="n">
        <f aca="false">E120+F120</f>
        <v>115.5</v>
      </c>
      <c r="H120" s="2" t="n">
        <v>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/>
      <c r="R120" s="2"/>
      <c r="S120" s="2" t="s">
        <v>317</v>
      </c>
    </row>
    <row r="121" customFormat="false" ht="15" hidden="false" customHeight="false" outlineLevel="0" collapsed="false">
      <c r="A121" s="2" t="s">
        <v>361</v>
      </c>
      <c r="B121" s="2" t="s">
        <v>362</v>
      </c>
      <c r="C121" s="5" t="n">
        <v>44722</v>
      </c>
      <c r="D121" s="6" t="n">
        <f aca="false">YEAR(C121)</f>
        <v>2022</v>
      </c>
      <c r="E121" s="7" t="n">
        <v>0</v>
      </c>
      <c r="F121" s="7" t="n">
        <v>1001</v>
      </c>
      <c r="G121" s="3" t="n">
        <f aca="false">E121+F121</f>
        <v>1001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/>
      <c r="R121" s="2"/>
      <c r="S121" s="2" t="s">
        <v>317</v>
      </c>
    </row>
    <row r="122" customFormat="false" ht="15" hidden="false" customHeight="false" outlineLevel="0" collapsed="false">
      <c r="A122" s="2" t="s">
        <v>363</v>
      </c>
      <c r="B122" s="2" t="s">
        <v>364</v>
      </c>
      <c r="C122" s="5" t="n">
        <v>44734</v>
      </c>
      <c r="D122" s="6" t="n">
        <f aca="false">YEAR(C122)</f>
        <v>2022</v>
      </c>
      <c r="E122" s="7" t="n">
        <v>21.5316</v>
      </c>
      <c r="F122" s="7" t="n">
        <v>193.7808</v>
      </c>
      <c r="G122" s="3" t="n">
        <f aca="false">E122+F122</f>
        <v>215.3124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/>
      <c r="R122" s="2"/>
      <c r="S122" s="2" t="s">
        <v>317</v>
      </c>
    </row>
    <row r="123" customFormat="false" ht="15" hidden="false" customHeight="false" outlineLevel="0" collapsed="false">
      <c r="A123" s="2" t="s">
        <v>365</v>
      </c>
      <c r="B123" s="2" t="s">
        <v>366</v>
      </c>
      <c r="C123" s="5" t="n">
        <v>44736</v>
      </c>
      <c r="D123" s="6" t="n">
        <f aca="false">YEAR(C123)</f>
        <v>2022</v>
      </c>
      <c r="E123" s="7" t="n">
        <v>67.08</v>
      </c>
      <c r="F123" s="7" t="n">
        <v>603.72</v>
      </c>
      <c r="G123" s="3" t="n">
        <f aca="false">E123+F123</f>
        <v>670.8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/>
      <c r="R123" s="2"/>
      <c r="S123" s="2" t="s">
        <v>317</v>
      </c>
    </row>
    <row r="124" customFormat="false" ht="15" hidden="false" customHeight="false" outlineLevel="0" collapsed="false">
      <c r="A124" s="2" t="s">
        <v>367</v>
      </c>
      <c r="B124" s="2" t="s">
        <v>368</v>
      </c>
      <c r="C124" s="5" t="n">
        <v>44742</v>
      </c>
      <c r="D124" s="6" t="n">
        <f aca="false">YEAR(C124)</f>
        <v>2022</v>
      </c>
      <c r="E124" s="7" t="n">
        <v>12.6</v>
      </c>
      <c r="F124" s="7" t="n">
        <v>113.4</v>
      </c>
      <c r="G124" s="3" t="n">
        <f aca="false">E124+F124</f>
        <v>126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/>
      <c r="R124" s="2"/>
      <c r="S124" s="2" t="s">
        <v>317</v>
      </c>
    </row>
    <row r="125" customFormat="false" ht="15" hidden="false" customHeight="false" outlineLevel="0" collapsed="false">
      <c r="A125" s="2" t="s">
        <v>369</v>
      </c>
      <c r="B125" s="2" t="s">
        <v>370</v>
      </c>
      <c r="C125" s="5" t="n">
        <v>44742</v>
      </c>
      <c r="D125" s="6" t="n">
        <f aca="false">YEAR(C125)</f>
        <v>2022</v>
      </c>
      <c r="E125" s="7" t="n">
        <v>55.9386</v>
      </c>
      <c r="F125" s="7" t="n">
        <v>503.427</v>
      </c>
      <c r="G125" s="3" t="n">
        <f aca="false">E125+F125</f>
        <v>559.3656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/>
      <c r="R125" s="2"/>
      <c r="S125" s="2" t="s">
        <v>317</v>
      </c>
    </row>
    <row r="126" customFormat="false" ht="15" hidden="false" customHeight="false" outlineLevel="0" collapsed="false">
      <c r="A126" s="2" t="s">
        <v>371</v>
      </c>
      <c r="B126" s="2" t="s">
        <v>372</v>
      </c>
      <c r="C126" s="5" t="n">
        <v>44746</v>
      </c>
      <c r="D126" s="6" t="n">
        <f aca="false">YEAR(C126)</f>
        <v>2022</v>
      </c>
      <c r="E126" s="7" t="n">
        <v>0</v>
      </c>
      <c r="F126" s="7" t="n">
        <v>0</v>
      </c>
      <c r="G126" s="3" t="n">
        <f aca="false">E126+F126</f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/>
      <c r="R126" s="2"/>
      <c r="S126" s="2" t="s">
        <v>317</v>
      </c>
    </row>
    <row r="127" customFormat="false" ht="15" hidden="false" customHeight="false" outlineLevel="0" collapsed="false">
      <c r="A127" s="2" t="s">
        <v>373</v>
      </c>
      <c r="B127" s="2" t="s">
        <v>374</v>
      </c>
      <c r="C127" s="5" t="n">
        <v>44747</v>
      </c>
      <c r="D127" s="6" t="n">
        <f aca="false">YEAR(C127)</f>
        <v>2022</v>
      </c>
      <c r="E127" s="7" t="n">
        <v>14.089</v>
      </c>
      <c r="F127" s="7" t="n">
        <v>126.801</v>
      </c>
      <c r="G127" s="3" t="n">
        <f aca="false">E127+F127</f>
        <v>140.89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/>
      <c r="R127" s="2"/>
      <c r="S127" s="2" t="s">
        <v>317</v>
      </c>
    </row>
    <row r="128" customFormat="false" ht="15" hidden="false" customHeight="false" outlineLevel="0" collapsed="false">
      <c r="A128" s="2" t="s">
        <v>375</v>
      </c>
      <c r="B128" s="2" t="s">
        <v>376</v>
      </c>
      <c r="C128" s="5" t="n">
        <v>44748</v>
      </c>
      <c r="D128" s="6" t="n">
        <f aca="false">YEAR(C128)</f>
        <v>2022</v>
      </c>
      <c r="E128" s="7" t="n">
        <v>57.95</v>
      </c>
      <c r="F128" s="7" t="n">
        <v>521.55</v>
      </c>
      <c r="G128" s="3" t="n">
        <f aca="false">E128+F128</f>
        <v>579.5</v>
      </c>
      <c r="H128" s="2" t="n">
        <v>0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/>
      <c r="R128" s="2"/>
      <c r="S128" s="2" t="s">
        <v>317</v>
      </c>
    </row>
    <row r="129" customFormat="false" ht="15" hidden="false" customHeight="false" outlineLevel="0" collapsed="false">
      <c r="A129" s="2" t="s">
        <v>377</v>
      </c>
      <c r="B129" s="2" t="s">
        <v>378</v>
      </c>
      <c r="C129" s="5" t="n">
        <v>44750</v>
      </c>
      <c r="D129" s="6" t="n">
        <f aca="false">YEAR(C129)</f>
        <v>2022</v>
      </c>
      <c r="E129" s="7" t="n">
        <v>14.5766</v>
      </c>
      <c r="F129" s="7" t="n">
        <v>133.9291</v>
      </c>
      <c r="G129" s="3" t="n">
        <f aca="false">E129+F129</f>
        <v>148.5057</v>
      </c>
      <c r="H129" s="2" t="n">
        <v>1</v>
      </c>
      <c r="I129" s="2" t="n">
        <v>0</v>
      </c>
      <c r="J129" s="2" t="n">
        <v>1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/>
      <c r="R129" s="2"/>
      <c r="S129" s="2" t="s">
        <v>317</v>
      </c>
    </row>
    <row r="130" customFormat="false" ht="15" hidden="false" customHeight="false" outlineLevel="0" collapsed="false">
      <c r="A130" s="2" t="s">
        <v>379</v>
      </c>
      <c r="B130" s="2" t="s">
        <v>380</v>
      </c>
      <c r="C130" s="5" t="n">
        <v>44750</v>
      </c>
      <c r="D130" s="6" t="n">
        <f aca="false">YEAR(C130)</f>
        <v>2022</v>
      </c>
      <c r="E130" s="7" t="n">
        <v>19.7373</v>
      </c>
      <c r="F130" s="7" t="n">
        <v>177.6355</v>
      </c>
      <c r="G130" s="3" t="n">
        <f aca="false">E130+F130</f>
        <v>197.3728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/>
      <c r="R130" s="2"/>
      <c r="S130" s="2" t="s">
        <v>317</v>
      </c>
    </row>
    <row r="131" customFormat="false" ht="15" hidden="false" customHeight="false" outlineLevel="0" collapsed="false">
      <c r="A131" s="2" t="s">
        <v>381</v>
      </c>
      <c r="B131" s="2" t="s">
        <v>382</v>
      </c>
      <c r="C131" s="5" t="n">
        <v>44750</v>
      </c>
      <c r="D131" s="6" t="n">
        <f aca="false">YEAR(C131)</f>
        <v>2022</v>
      </c>
      <c r="E131" s="7" t="n">
        <v>64.3812</v>
      </c>
      <c r="F131" s="7" t="n">
        <v>150.2155</v>
      </c>
      <c r="G131" s="3" t="n">
        <f aca="false">E131+F131</f>
        <v>214.5967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/>
      <c r="R131" s="2"/>
      <c r="S131" s="2" t="s">
        <v>317</v>
      </c>
    </row>
    <row r="132" customFormat="false" ht="15" hidden="false" customHeight="false" outlineLevel="0" collapsed="false">
      <c r="A132" s="2" t="s">
        <v>383</v>
      </c>
      <c r="B132" s="2" t="s">
        <v>384</v>
      </c>
      <c r="C132" s="5" t="n">
        <v>44754</v>
      </c>
      <c r="D132" s="6" t="n">
        <f aca="false">YEAR(C132)</f>
        <v>2022</v>
      </c>
      <c r="E132" s="7" t="n">
        <v>40.2</v>
      </c>
      <c r="F132" s="7" t="n">
        <v>371.2872</v>
      </c>
      <c r="G132" s="3" t="n">
        <f aca="false">E132+F132</f>
        <v>411.4872</v>
      </c>
      <c r="H132" s="2" t="n">
        <v>0</v>
      </c>
      <c r="I132" s="2" t="n">
        <v>0</v>
      </c>
      <c r="J132" s="2" t="n">
        <v>1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/>
      <c r="R132" s="2"/>
      <c r="S132" s="2" t="s">
        <v>317</v>
      </c>
    </row>
    <row r="133" customFormat="false" ht="15" hidden="false" customHeight="false" outlineLevel="0" collapsed="false">
      <c r="A133" s="2" t="s">
        <v>385</v>
      </c>
      <c r="B133" s="2" t="s">
        <v>386</v>
      </c>
      <c r="C133" s="5" t="n">
        <v>44754</v>
      </c>
      <c r="D133" s="6" t="n">
        <f aca="false">YEAR(C133)</f>
        <v>2022</v>
      </c>
      <c r="E133" s="7" t="n">
        <v>39.52</v>
      </c>
      <c r="F133" s="7" t="n">
        <v>355.68</v>
      </c>
      <c r="G133" s="3" t="n">
        <f aca="false">E133+F133</f>
        <v>395.2</v>
      </c>
      <c r="H133" s="2" t="n">
        <v>0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/>
      <c r="R133" s="2"/>
      <c r="S133" s="2" t="s">
        <v>317</v>
      </c>
    </row>
    <row r="134" customFormat="false" ht="15" hidden="false" customHeight="false" outlineLevel="0" collapsed="false">
      <c r="A134" s="2" t="s">
        <v>387</v>
      </c>
      <c r="B134" s="2" t="s">
        <v>388</v>
      </c>
      <c r="C134" s="5" t="n">
        <v>44755</v>
      </c>
      <c r="D134" s="6" t="n">
        <f aca="false">YEAR(C134)</f>
        <v>2022</v>
      </c>
      <c r="E134" s="7" t="n">
        <v>30.4</v>
      </c>
      <c r="F134" s="7" t="n">
        <v>290.1042</v>
      </c>
      <c r="G134" s="3" t="n">
        <f aca="false">E134+F134</f>
        <v>320.5042</v>
      </c>
      <c r="H134" s="2" t="n">
        <v>0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/>
      <c r="R134" s="2"/>
      <c r="S134" s="2" t="s">
        <v>317</v>
      </c>
    </row>
    <row r="135" customFormat="false" ht="15" hidden="false" customHeight="false" outlineLevel="0" collapsed="false">
      <c r="A135" s="2" t="s">
        <v>389</v>
      </c>
      <c r="B135" s="2" t="s">
        <v>390</v>
      </c>
      <c r="C135" s="5" t="n">
        <v>44755</v>
      </c>
      <c r="D135" s="6" t="n">
        <f aca="false">YEAR(C135)</f>
        <v>2022</v>
      </c>
      <c r="E135" s="7" t="n">
        <v>56.718</v>
      </c>
      <c r="F135" s="7" t="n">
        <v>517.1716</v>
      </c>
      <c r="G135" s="3" t="n">
        <f aca="false">E135+F135</f>
        <v>573.8896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/>
      <c r="R135" s="2"/>
      <c r="S135" s="2" t="s">
        <v>317</v>
      </c>
    </row>
    <row r="136" customFormat="false" ht="15" hidden="false" customHeight="false" outlineLevel="0" collapsed="false">
      <c r="A136" s="2" t="s">
        <v>391</v>
      </c>
      <c r="B136" s="2" t="s">
        <v>392</v>
      </c>
      <c r="C136" s="5" t="n">
        <v>44755</v>
      </c>
      <c r="D136" s="6" t="n">
        <f aca="false">YEAR(C136)</f>
        <v>2022</v>
      </c>
      <c r="E136" s="7" t="n">
        <v>32.12</v>
      </c>
      <c r="F136" s="7" t="n">
        <v>304.3107</v>
      </c>
      <c r="G136" s="3" t="n">
        <f aca="false">E136+F136</f>
        <v>336.4307</v>
      </c>
      <c r="H136" s="2" t="n">
        <v>0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/>
      <c r="R136" s="2"/>
      <c r="S136" s="2" t="s">
        <v>317</v>
      </c>
    </row>
    <row r="137" customFormat="false" ht="15" hidden="false" customHeight="false" outlineLevel="0" collapsed="false">
      <c r="A137" s="2" t="s">
        <v>393</v>
      </c>
      <c r="B137" s="2" t="s">
        <v>394</v>
      </c>
      <c r="C137" s="5" t="n">
        <v>44755</v>
      </c>
      <c r="D137" s="6" t="n">
        <f aca="false">YEAR(C137)</f>
        <v>2022</v>
      </c>
      <c r="E137" s="7" t="n">
        <v>1345.8168</v>
      </c>
      <c r="F137" s="7" t="n">
        <v>12112.2036</v>
      </c>
      <c r="G137" s="3" t="n">
        <f aca="false">E137+F137</f>
        <v>13458.0204</v>
      </c>
      <c r="H137" s="2" t="n">
        <v>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1</v>
      </c>
      <c r="N137" s="2" t="n">
        <v>0</v>
      </c>
      <c r="O137" s="2" t="n">
        <v>0</v>
      </c>
      <c r="P137" s="2" t="n">
        <v>0</v>
      </c>
      <c r="Q137" s="2"/>
      <c r="R137" s="2"/>
      <c r="S137" s="2" t="s">
        <v>317</v>
      </c>
    </row>
    <row r="138" customFormat="false" ht="15" hidden="false" customHeight="false" outlineLevel="0" collapsed="false">
      <c r="A138" s="2" t="s">
        <v>395</v>
      </c>
      <c r="B138" s="2" t="s">
        <v>396</v>
      </c>
      <c r="C138" s="5" t="n">
        <v>44757</v>
      </c>
      <c r="D138" s="6" t="n">
        <f aca="false">YEAR(C138)</f>
        <v>2022</v>
      </c>
      <c r="E138" s="7" t="n">
        <v>13.5</v>
      </c>
      <c r="F138" s="7" t="n">
        <v>121.5</v>
      </c>
      <c r="G138" s="3" t="n">
        <f aca="false">E138+F138</f>
        <v>135</v>
      </c>
      <c r="H138" s="2" t="n">
        <v>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/>
      <c r="R138" s="2"/>
      <c r="S138" s="2" t="s">
        <v>317</v>
      </c>
    </row>
    <row r="139" customFormat="false" ht="15" hidden="false" customHeight="false" outlineLevel="0" collapsed="false">
      <c r="A139" s="2" t="s">
        <v>397</v>
      </c>
      <c r="B139" s="2" t="s">
        <v>398</v>
      </c>
      <c r="C139" s="5" t="n">
        <v>44757</v>
      </c>
      <c r="D139" s="6" t="n">
        <f aca="false">YEAR(C139)</f>
        <v>2022</v>
      </c>
      <c r="E139" s="7" t="n">
        <v>41.2209</v>
      </c>
      <c r="F139" s="7" t="n">
        <v>1051.4556</v>
      </c>
      <c r="G139" s="3" t="n">
        <f aca="false">E139+F139</f>
        <v>1092.6765</v>
      </c>
      <c r="H139" s="2" t="n">
        <v>0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/>
      <c r="R139" s="2"/>
      <c r="S139" s="2" t="s">
        <v>317</v>
      </c>
    </row>
    <row r="140" customFormat="false" ht="15" hidden="false" customHeight="false" outlineLevel="0" collapsed="false">
      <c r="A140" s="2" t="s">
        <v>399</v>
      </c>
      <c r="B140" s="2" t="s">
        <v>400</v>
      </c>
      <c r="C140" s="5" t="n">
        <v>44757</v>
      </c>
      <c r="D140" s="6" t="n">
        <f aca="false">YEAR(C140)</f>
        <v>2022</v>
      </c>
      <c r="E140" s="7" t="n">
        <v>101.2704</v>
      </c>
      <c r="F140" s="7" t="n">
        <v>236.2976</v>
      </c>
      <c r="G140" s="3" t="n">
        <f aca="false">E140+F140</f>
        <v>337.568</v>
      </c>
      <c r="H140" s="2" t="n">
        <v>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/>
      <c r="R140" s="2"/>
      <c r="S140" s="2" t="s">
        <v>317</v>
      </c>
    </row>
    <row r="141" customFormat="false" ht="15" hidden="false" customHeight="false" outlineLevel="0" collapsed="false">
      <c r="A141" s="2" t="s">
        <v>401</v>
      </c>
      <c r="B141" s="2" t="s">
        <v>402</v>
      </c>
      <c r="C141" s="5" t="n">
        <v>44760</v>
      </c>
      <c r="D141" s="6" t="n">
        <f aca="false">YEAR(C141)</f>
        <v>2022</v>
      </c>
      <c r="E141" s="7" t="n">
        <v>39</v>
      </c>
      <c r="F141" s="7" t="n">
        <v>91</v>
      </c>
      <c r="G141" s="3" t="n">
        <f aca="false">E141+F141</f>
        <v>130</v>
      </c>
      <c r="H141" s="2" t="n">
        <v>0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/>
      <c r="R141" s="2"/>
      <c r="S141" s="2" t="s">
        <v>317</v>
      </c>
    </row>
    <row r="142" customFormat="false" ht="15" hidden="false" customHeight="false" outlineLevel="0" collapsed="false">
      <c r="A142" s="2" t="s">
        <v>403</v>
      </c>
      <c r="B142" s="2" t="s">
        <v>404</v>
      </c>
      <c r="C142" s="5" t="n">
        <v>44783</v>
      </c>
      <c r="D142" s="6" t="n">
        <f aca="false">YEAR(C142)</f>
        <v>2022</v>
      </c>
      <c r="E142" s="7" t="n">
        <v>33.9133</v>
      </c>
      <c r="F142" s="7" t="n">
        <v>386.2023</v>
      </c>
      <c r="G142" s="3" t="n">
        <f aca="false">E142+F142</f>
        <v>420.1156</v>
      </c>
      <c r="H142" s="2" t="n">
        <v>0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1</v>
      </c>
      <c r="O142" s="2" t="n">
        <v>0</v>
      </c>
      <c r="P142" s="2" t="n">
        <v>0</v>
      </c>
      <c r="Q142" s="2"/>
      <c r="R142" s="2"/>
      <c r="S142" s="2" t="s">
        <v>317</v>
      </c>
    </row>
    <row r="143" customFormat="false" ht="15" hidden="false" customHeight="false" outlineLevel="0" collapsed="false">
      <c r="A143" s="2" t="s">
        <v>405</v>
      </c>
      <c r="B143" s="2" t="s">
        <v>406</v>
      </c>
      <c r="C143" s="5" t="n">
        <v>44788</v>
      </c>
      <c r="D143" s="6" t="n">
        <f aca="false">YEAR(C143)</f>
        <v>2022</v>
      </c>
      <c r="E143" s="7" t="n">
        <v>0</v>
      </c>
      <c r="F143" s="7" t="n">
        <v>1000.5</v>
      </c>
      <c r="G143" s="3" t="n">
        <f aca="false">E143+F143</f>
        <v>1000.5</v>
      </c>
      <c r="H143" s="2" t="n">
        <v>0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/>
      <c r="R143" s="2"/>
      <c r="S143" s="2" t="s">
        <v>317</v>
      </c>
    </row>
    <row r="144" customFormat="false" ht="15" hidden="false" customHeight="false" outlineLevel="0" collapsed="false">
      <c r="A144" s="2" t="s">
        <v>407</v>
      </c>
      <c r="B144" s="2" t="s">
        <v>408</v>
      </c>
      <c r="C144" s="5" t="n">
        <v>44792</v>
      </c>
      <c r="D144" s="6" t="n">
        <f aca="false">YEAR(C144)</f>
        <v>2022</v>
      </c>
      <c r="E144" s="7" t="n">
        <v>40.488</v>
      </c>
      <c r="F144" s="7" t="n">
        <v>114.716</v>
      </c>
      <c r="G144" s="3" t="n">
        <f aca="false">E144+F144</f>
        <v>155.204</v>
      </c>
      <c r="H144" s="2" t="n">
        <v>0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/>
      <c r="R144" s="2"/>
      <c r="S144" s="2" t="s">
        <v>317</v>
      </c>
    </row>
    <row r="145" customFormat="false" ht="15" hidden="false" customHeight="false" outlineLevel="0" collapsed="false">
      <c r="A145" s="2" t="s">
        <v>409</v>
      </c>
      <c r="B145" s="2" t="s">
        <v>410</v>
      </c>
      <c r="C145" s="5" t="n">
        <v>44797</v>
      </c>
      <c r="D145" s="6" t="n">
        <f aca="false">YEAR(C145)</f>
        <v>2022</v>
      </c>
      <c r="E145" s="7" t="n">
        <v>15.2048</v>
      </c>
      <c r="F145" s="7" t="n">
        <v>208.7994</v>
      </c>
      <c r="G145" s="3" t="n">
        <f aca="false">E145+F145</f>
        <v>224.0042</v>
      </c>
      <c r="H145" s="2" t="n">
        <v>0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/>
      <c r="R145" s="2"/>
      <c r="S145" s="2" t="s">
        <v>317</v>
      </c>
    </row>
    <row r="146" customFormat="false" ht="15" hidden="false" customHeight="false" outlineLevel="0" collapsed="false">
      <c r="A146" s="2" t="s">
        <v>411</v>
      </c>
      <c r="B146" s="2" t="s">
        <v>412</v>
      </c>
      <c r="C146" s="5" t="n">
        <v>44798</v>
      </c>
      <c r="D146" s="6" t="n">
        <f aca="false">YEAR(C146)</f>
        <v>2022</v>
      </c>
      <c r="E146" s="7" t="n">
        <v>811.8356</v>
      </c>
      <c r="F146" s="7" t="n">
        <v>17576.7574</v>
      </c>
      <c r="G146" s="3" t="n">
        <f aca="false">E146+F146</f>
        <v>18388.593</v>
      </c>
      <c r="H146" s="2" t="n">
        <v>0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/>
      <c r="R146" s="2"/>
      <c r="S146" s="2" t="s">
        <v>317</v>
      </c>
    </row>
    <row r="147" customFormat="false" ht="15" hidden="false" customHeight="false" outlineLevel="0" collapsed="false">
      <c r="A147" s="2" t="s">
        <v>413</v>
      </c>
      <c r="B147" s="2" t="s">
        <v>414</v>
      </c>
      <c r="C147" s="5" t="n">
        <v>44805</v>
      </c>
      <c r="D147" s="6" t="n">
        <f aca="false">YEAR(C147)</f>
        <v>2022</v>
      </c>
      <c r="E147" s="7" t="n">
        <v>54.8787</v>
      </c>
      <c r="F147" s="7" t="n">
        <v>562.2169</v>
      </c>
      <c r="G147" s="3" t="n">
        <f aca="false">E147+F147</f>
        <v>617.0956</v>
      </c>
      <c r="H147" s="2" t="n">
        <v>1</v>
      </c>
      <c r="I147" s="2" t="n">
        <v>0</v>
      </c>
      <c r="J147" s="2" t="n">
        <v>1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/>
      <c r="R147" s="2"/>
      <c r="S147" s="2" t="s">
        <v>317</v>
      </c>
    </row>
    <row r="148" customFormat="false" ht="15" hidden="false" customHeight="false" outlineLevel="0" collapsed="false">
      <c r="A148" s="2" t="s">
        <v>415</v>
      </c>
      <c r="B148" s="2" t="s">
        <v>416</v>
      </c>
      <c r="C148" s="5" t="n">
        <v>44809</v>
      </c>
      <c r="D148" s="6" t="n">
        <f aca="false">YEAR(C148)</f>
        <v>2022</v>
      </c>
      <c r="E148" s="7" t="n">
        <v>33.84</v>
      </c>
      <c r="F148" s="7" t="n">
        <v>537.956</v>
      </c>
      <c r="G148" s="3" t="n">
        <f aca="false">E148+F148</f>
        <v>571.796</v>
      </c>
      <c r="H148" s="2" t="n">
        <v>0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/>
      <c r="R148" s="2"/>
      <c r="S148" s="2" t="s">
        <v>317</v>
      </c>
    </row>
    <row r="149" customFormat="false" ht="15" hidden="false" customHeight="false" outlineLevel="0" collapsed="false">
      <c r="A149" s="2" t="s">
        <v>417</v>
      </c>
      <c r="B149" s="2" t="s">
        <v>418</v>
      </c>
      <c r="C149" s="5" t="n">
        <v>44818</v>
      </c>
      <c r="D149" s="6" t="n">
        <f aca="false">YEAR(C149)</f>
        <v>2022</v>
      </c>
      <c r="E149" s="7" t="n">
        <v>40.248</v>
      </c>
      <c r="F149" s="7" t="n">
        <v>362.196</v>
      </c>
      <c r="G149" s="3" t="n">
        <f aca="false">E149+F149</f>
        <v>402.444</v>
      </c>
      <c r="H149" s="2" t="n">
        <v>0</v>
      </c>
      <c r="I149" s="2" t="n">
        <v>0</v>
      </c>
      <c r="J149" s="2" t="n">
        <v>1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/>
      <c r="R149" s="2"/>
      <c r="S149" s="2" t="s">
        <v>317</v>
      </c>
    </row>
    <row r="150" customFormat="false" ht="15" hidden="false" customHeight="false" outlineLevel="0" collapsed="false">
      <c r="A150" s="2" t="s">
        <v>419</v>
      </c>
      <c r="B150" s="2" t="s">
        <v>420</v>
      </c>
      <c r="C150" s="5" t="n">
        <v>44820</v>
      </c>
      <c r="D150" s="6" t="n">
        <f aca="false">YEAR(C150)</f>
        <v>2022</v>
      </c>
      <c r="E150" s="7" t="n">
        <v>0</v>
      </c>
      <c r="F150" s="7" t="n">
        <v>1001</v>
      </c>
      <c r="G150" s="3" t="n">
        <f aca="false">E150+F150</f>
        <v>1001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/>
      <c r="R150" s="2"/>
      <c r="S150" s="2" t="s">
        <v>317</v>
      </c>
    </row>
    <row r="151" customFormat="false" ht="15" hidden="false" customHeight="false" outlineLevel="0" collapsed="false">
      <c r="A151" s="2" t="s">
        <v>421</v>
      </c>
      <c r="B151" s="2" t="s">
        <v>422</v>
      </c>
      <c r="C151" s="5" t="n">
        <v>44825</v>
      </c>
      <c r="D151" s="6" t="n">
        <f aca="false">YEAR(C151)</f>
        <v>2022</v>
      </c>
      <c r="E151" s="7" t="n">
        <v>0</v>
      </c>
      <c r="F151" s="7" t="n">
        <v>0</v>
      </c>
      <c r="G151" s="3" t="n">
        <f aca="false">E151+F151</f>
        <v>0</v>
      </c>
      <c r="H151" s="2" t="n">
        <v>0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1</v>
      </c>
      <c r="O151" s="2" t="n">
        <v>0</v>
      </c>
      <c r="P151" s="2" t="n">
        <v>0</v>
      </c>
      <c r="Q151" s="2"/>
      <c r="R151" s="2"/>
      <c r="S151" s="2" t="s">
        <v>317</v>
      </c>
    </row>
    <row r="152" customFormat="false" ht="15" hidden="false" customHeight="false" outlineLevel="0" collapsed="false">
      <c r="A152" s="2" t="s">
        <v>423</v>
      </c>
      <c r="B152" s="2" t="s">
        <v>424</v>
      </c>
      <c r="C152" s="5" t="n">
        <v>44830</v>
      </c>
      <c r="D152" s="6" t="n">
        <f aca="false">YEAR(C152)</f>
        <v>2022</v>
      </c>
      <c r="E152" s="7" t="n">
        <v>66.4062</v>
      </c>
      <c r="F152" s="7" t="n">
        <v>66.4062</v>
      </c>
      <c r="G152" s="3" t="n">
        <f aca="false">E152+F152</f>
        <v>132.8124</v>
      </c>
      <c r="H152" s="2" t="n">
        <v>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/>
      <c r="R152" s="2"/>
      <c r="S152" s="2" t="s">
        <v>317</v>
      </c>
    </row>
    <row r="153" customFormat="false" ht="15" hidden="false" customHeight="false" outlineLevel="0" collapsed="false">
      <c r="A153" s="2" t="s">
        <v>425</v>
      </c>
      <c r="B153" s="2" t="s">
        <v>426</v>
      </c>
      <c r="C153" s="5" t="n">
        <v>44833</v>
      </c>
      <c r="D153" s="6" t="n">
        <f aca="false">YEAR(C153)</f>
        <v>2022</v>
      </c>
      <c r="E153" s="7" t="n">
        <v>470.3697</v>
      </c>
      <c r="F153" s="7" t="n">
        <v>5848.8337</v>
      </c>
      <c r="G153" s="3" t="n">
        <f aca="false">E153+F153</f>
        <v>6319.2034</v>
      </c>
      <c r="H153" s="2" t="n">
        <v>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/>
      <c r="R153" s="2"/>
      <c r="S153" s="2" t="s">
        <v>317</v>
      </c>
    </row>
    <row r="154" customFormat="false" ht="15" hidden="false" customHeight="false" outlineLevel="0" collapsed="false">
      <c r="A154" s="2" t="s">
        <v>427</v>
      </c>
      <c r="B154" s="2" t="s">
        <v>428</v>
      </c>
      <c r="C154" s="5" t="n">
        <v>44833</v>
      </c>
      <c r="D154" s="6" t="n">
        <f aca="false">YEAR(C154)</f>
        <v>2022</v>
      </c>
      <c r="E154" s="7" t="n">
        <v>103.0272</v>
      </c>
      <c r="F154" s="7" t="n">
        <v>6176.2896</v>
      </c>
      <c r="G154" s="3" t="n">
        <f aca="false">E154+F154</f>
        <v>6279.3168</v>
      </c>
      <c r="H154" s="2" t="n">
        <v>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/>
      <c r="R154" s="2"/>
      <c r="S154" s="2" t="s">
        <v>317</v>
      </c>
    </row>
    <row r="155" customFormat="false" ht="15" hidden="false" customHeight="false" outlineLevel="0" collapsed="false">
      <c r="A155" s="2" t="s">
        <v>429</v>
      </c>
      <c r="B155" s="2" t="s">
        <v>430</v>
      </c>
      <c r="C155" s="5" t="n">
        <v>44840</v>
      </c>
      <c r="D155" s="6" t="n">
        <f aca="false">YEAR(C155)</f>
        <v>2022</v>
      </c>
      <c r="E155" s="7" t="n">
        <v>15.7011</v>
      </c>
      <c r="F155" s="7" t="n">
        <v>163.0706</v>
      </c>
      <c r="G155" s="3" t="n">
        <f aca="false">E155+F155</f>
        <v>178.7717</v>
      </c>
      <c r="H155" s="2" t="n">
        <v>0</v>
      </c>
      <c r="I155" s="2" t="n">
        <v>0</v>
      </c>
      <c r="J155" s="2" t="n">
        <v>1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/>
      <c r="R155" s="2"/>
      <c r="S155" s="2" t="s">
        <v>317</v>
      </c>
    </row>
    <row r="156" customFormat="false" ht="15" hidden="false" customHeight="false" outlineLevel="0" collapsed="false">
      <c r="A156" s="2" t="s">
        <v>431</v>
      </c>
      <c r="B156" s="2" t="s">
        <v>432</v>
      </c>
      <c r="C156" s="5" t="n">
        <v>44840</v>
      </c>
      <c r="D156" s="6" t="n">
        <f aca="false">YEAR(C156)</f>
        <v>2022</v>
      </c>
      <c r="E156" s="7" t="n">
        <v>107.1296</v>
      </c>
      <c r="F156" s="7" t="n">
        <v>9994.9918</v>
      </c>
      <c r="G156" s="3" t="n">
        <f aca="false">E156+F156</f>
        <v>10102.1214</v>
      </c>
      <c r="H156" s="2" t="n">
        <v>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/>
      <c r="R156" s="2"/>
      <c r="S156" s="2" t="s">
        <v>317</v>
      </c>
    </row>
    <row r="157" customFormat="false" ht="15" hidden="false" customHeight="false" outlineLevel="0" collapsed="false">
      <c r="A157" s="2" t="s">
        <v>433</v>
      </c>
      <c r="B157" s="2" t="s">
        <v>434</v>
      </c>
      <c r="C157" s="5" t="n">
        <v>44844</v>
      </c>
      <c r="D157" s="6" t="n">
        <f aca="false">YEAR(C157)</f>
        <v>2022</v>
      </c>
      <c r="E157" s="7" t="n">
        <v>12.5</v>
      </c>
      <c r="F157" s="7" t="n">
        <v>112.5</v>
      </c>
      <c r="G157" s="3" t="n">
        <f aca="false">E157+F157</f>
        <v>125</v>
      </c>
      <c r="H157" s="2" t="n">
        <v>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1</v>
      </c>
      <c r="Q157" s="2"/>
      <c r="R157" s="2"/>
      <c r="S157" s="2" t="s">
        <v>317</v>
      </c>
    </row>
    <row r="158" customFormat="false" ht="15" hidden="false" customHeight="false" outlineLevel="0" collapsed="false">
      <c r="A158" s="2" t="s">
        <v>435</v>
      </c>
      <c r="B158" s="2" t="s">
        <v>436</v>
      </c>
      <c r="C158" s="5" t="n">
        <v>44844</v>
      </c>
      <c r="D158" s="6" t="n">
        <f aca="false">YEAR(C158)</f>
        <v>2022</v>
      </c>
      <c r="E158" s="7" t="n">
        <v>22.4624</v>
      </c>
      <c r="F158" s="7" t="n">
        <v>202.0615</v>
      </c>
      <c r="G158" s="3" t="n">
        <f aca="false">E158+F158</f>
        <v>224.5239</v>
      </c>
      <c r="H158" s="2" t="n">
        <v>1</v>
      </c>
      <c r="I158" s="2" t="n">
        <v>0</v>
      </c>
      <c r="J158" s="2" t="n">
        <v>1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/>
      <c r="R158" s="2"/>
      <c r="S158" s="2" t="s">
        <v>317</v>
      </c>
    </row>
    <row r="159" customFormat="false" ht="15" hidden="false" customHeight="false" outlineLevel="0" collapsed="false">
      <c r="A159" s="2" t="s">
        <v>437</v>
      </c>
      <c r="B159" s="2" t="s">
        <v>438</v>
      </c>
      <c r="C159" s="5" t="n">
        <v>44851</v>
      </c>
      <c r="D159" s="6" t="n">
        <f aca="false">YEAR(C159)</f>
        <v>2022</v>
      </c>
      <c r="E159" s="7" t="n">
        <v>16</v>
      </c>
      <c r="F159" s="7" t="n">
        <v>144</v>
      </c>
      <c r="G159" s="3" t="n">
        <f aca="false">E159+F159</f>
        <v>160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/>
      <c r="R159" s="2"/>
      <c r="S159" s="2" t="s">
        <v>317</v>
      </c>
    </row>
    <row r="160" customFormat="false" ht="15" hidden="false" customHeight="false" outlineLevel="0" collapsed="false">
      <c r="A160" s="2" t="s">
        <v>439</v>
      </c>
      <c r="B160" s="2" t="s">
        <v>440</v>
      </c>
      <c r="C160" s="5" t="n">
        <v>44852</v>
      </c>
      <c r="D160" s="6" t="n">
        <f aca="false">YEAR(C160)</f>
        <v>2022</v>
      </c>
      <c r="E160" s="7" t="n">
        <v>60.0015</v>
      </c>
      <c r="F160" s="7" t="n">
        <v>540.0135</v>
      </c>
      <c r="G160" s="3" t="n">
        <f aca="false">E160+F160</f>
        <v>600.015</v>
      </c>
      <c r="H160" s="2" t="n">
        <v>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/>
      <c r="R160" s="2"/>
      <c r="S160" s="2" t="s">
        <v>317</v>
      </c>
    </row>
    <row r="161" customFormat="false" ht="15" hidden="false" customHeight="false" outlineLevel="0" collapsed="false">
      <c r="A161" s="2" t="s">
        <v>441</v>
      </c>
      <c r="B161" s="2" t="s">
        <v>442</v>
      </c>
      <c r="C161" s="5" t="n">
        <v>44869</v>
      </c>
      <c r="D161" s="6" t="n">
        <f aca="false">YEAR(C161)</f>
        <v>2022</v>
      </c>
      <c r="E161" s="7" t="n">
        <v>54.9472</v>
      </c>
      <c r="F161" s="7" t="n">
        <v>576.8528</v>
      </c>
      <c r="G161" s="3" t="n">
        <f aca="false">E161+F161</f>
        <v>631.8</v>
      </c>
      <c r="H161" s="2" t="n">
        <v>0</v>
      </c>
      <c r="I161" s="2" t="n">
        <v>0</v>
      </c>
      <c r="J161" s="2" t="n">
        <v>1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/>
      <c r="R161" s="2"/>
      <c r="S161" s="2" t="s">
        <v>317</v>
      </c>
    </row>
    <row r="162" customFormat="false" ht="15" hidden="false" customHeight="false" outlineLevel="0" collapsed="false">
      <c r="A162" s="2" t="s">
        <v>443</v>
      </c>
      <c r="B162" s="2" t="s">
        <v>444</v>
      </c>
      <c r="C162" s="5" t="n">
        <v>44873</v>
      </c>
      <c r="D162" s="6" t="n">
        <f aca="false">YEAR(C162)</f>
        <v>2022</v>
      </c>
      <c r="E162" s="7" t="n">
        <v>65.4709</v>
      </c>
      <c r="F162" s="7" t="n">
        <v>589.0924</v>
      </c>
      <c r="G162" s="3" t="n">
        <f aca="false">E162+F162</f>
        <v>654.5633</v>
      </c>
      <c r="H162" s="2" t="n">
        <v>0</v>
      </c>
      <c r="I162" s="2" t="n">
        <v>0</v>
      </c>
      <c r="J162" s="2" t="n">
        <v>1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/>
      <c r="R162" s="2"/>
      <c r="S162" s="2" t="s">
        <v>317</v>
      </c>
    </row>
    <row r="163" customFormat="false" ht="15" hidden="false" customHeight="false" outlineLevel="0" collapsed="false">
      <c r="A163" s="2" t="s">
        <v>445</v>
      </c>
      <c r="B163" s="2" t="s">
        <v>446</v>
      </c>
      <c r="C163" s="5" t="n">
        <v>44874</v>
      </c>
      <c r="D163" s="6" t="n">
        <f aca="false">YEAR(C163)</f>
        <v>2022</v>
      </c>
      <c r="E163" s="7" t="n">
        <v>31.36</v>
      </c>
      <c r="F163" s="7" t="n">
        <v>282.24</v>
      </c>
      <c r="G163" s="3" t="n">
        <f aca="false">E163+F163</f>
        <v>313.6</v>
      </c>
      <c r="H163" s="2" t="n">
        <v>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/>
      <c r="R163" s="2"/>
      <c r="S163" s="2" t="s">
        <v>317</v>
      </c>
    </row>
    <row r="164" customFormat="false" ht="15" hidden="false" customHeight="false" outlineLevel="0" collapsed="false">
      <c r="A164" s="2" t="s">
        <v>447</v>
      </c>
      <c r="B164" s="2" t="s">
        <v>448</v>
      </c>
      <c r="C164" s="5" t="n">
        <v>44876</v>
      </c>
      <c r="D164" s="6" t="n">
        <f aca="false">YEAR(C164)</f>
        <v>2022</v>
      </c>
      <c r="E164" s="7" t="n">
        <v>22.9905</v>
      </c>
      <c r="F164" s="7" t="n">
        <v>206.9145</v>
      </c>
      <c r="G164" s="3" t="n">
        <f aca="false">E164+F164</f>
        <v>229.905</v>
      </c>
      <c r="H164" s="2" t="n">
        <v>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/>
      <c r="R164" s="2"/>
      <c r="S164" s="2" t="s">
        <v>317</v>
      </c>
    </row>
    <row r="165" customFormat="false" ht="15" hidden="false" customHeight="false" outlineLevel="0" collapsed="false">
      <c r="A165" s="2" t="s">
        <v>449</v>
      </c>
      <c r="B165" s="2" t="s">
        <v>450</v>
      </c>
      <c r="C165" s="5" t="n">
        <v>44881</v>
      </c>
      <c r="D165" s="6" t="n">
        <f aca="false">YEAR(C165)</f>
        <v>2022</v>
      </c>
      <c r="E165" s="7" t="n">
        <v>15.62</v>
      </c>
      <c r="F165" s="7" t="n">
        <v>140.58</v>
      </c>
      <c r="G165" s="3" t="n">
        <f aca="false">E165+F165</f>
        <v>156.2</v>
      </c>
      <c r="H165" s="2" t="n">
        <v>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/>
      <c r="R165" s="2"/>
      <c r="S165" s="2" t="s">
        <v>317</v>
      </c>
    </row>
    <row r="166" customFormat="false" ht="15" hidden="false" customHeight="false" outlineLevel="0" collapsed="false">
      <c r="A166" s="2" t="s">
        <v>451</v>
      </c>
      <c r="B166" s="2" t="s">
        <v>452</v>
      </c>
      <c r="C166" s="5" t="n">
        <v>44889</v>
      </c>
      <c r="D166" s="6" t="n">
        <f aca="false">YEAR(C166)</f>
        <v>2022</v>
      </c>
      <c r="E166" s="7" t="n">
        <v>40.4768</v>
      </c>
      <c r="F166" s="7" t="n">
        <v>364.2916</v>
      </c>
      <c r="G166" s="3" t="n">
        <f aca="false">E166+F166</f>
        <v>404.7684</v>
      </c>
      <c r="H166" s="2" t="n">
        <v>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/>
      <c r="R166" s="2"/>
      <c r="S166" s="2" t="s">
        <v>317</v>
      </c>
    </row>
    <row r="167" customFormat="false" ht="15" hidden="false" customHeight="false" outlineLevel="0" collapsed="false">
      <c r="A167" s="2" t="s">
        <v>453</v>
      </c>
      <c r="B167" s="2" t="s">
        <v>454</v>
      </c>
      <c r="C167" s="5" t="n">
        <v>44894</v>
      </c>
      <c r="D167" s="6" t="n">
        <f aca="false">YEAR(C167)</f>
        <v>2022</v>
      </c>
      <c r="E167" s="7" t="n">
        <v>28.0168</v>
      </c>
      <c r="F167" s="7" t="n">
        <v>290.6743</v>
      </c>
      <c r="G167" s="3" t="n">
        <f aca="false">E167+F167</f>
        <v>318.6911</v>
      </c>
      <c r="H167" s="2" t="n">
        <v>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/>
      <c r="R167" s="2"/>
      <c r="S167" s="2" t="s">
        <v>317</v>
      </c>
    </row>
    <row r="168" customFormat="false" ht="15" hidden="false" customHeight="false" outlineLevel="0" collapsed="false">
      <c r="A168" s="2" t="s">
        <v>455</v>
      </c>
      <c r="B168" s="2" t="s">
        <v>456</v>
      </c>
      <c r="C168" s="5" t="n">
        <v>44896</v>
      </c>
      <c r="D168" s="6" t="n">
        <f aca="false">YEAR(C168)</f>
        <v>2022</v>
      </c>
      <c r="E168" s="7" t="n">
        <v>367.4258</v>
      </c>
      <c r="F168" s="7" t="n">
        <v>3395.5432</v>
      </c>
      <c r="G168" s="3" t="n">
        <f aca="false">E168+F168</f>
        <v>3762.969</v>
      </c>
      <c r="H168" s="2" t="n">
        <v>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/>
      <c r="R168" s="2"/>
      <c r="S168" s="2" t="s">
        <v>317</v>
      </c>
    </row>
    <row r="169" customFormat="false" ht="15" hidden="false" customHeight="false" outlineLevel="0" collapsed="false">
      <c r="A169" s="2" t="s">
        <v>457</v>
      </c>
      <c r="B169" s="2" t="s">
        <v>458</v>
      </c>
      <c r="C169" s="5" t="n">
        <v>44904</v>
      </c>
      <c r="D169" s="6" t="n">
        <f aca="false">YEAR(C169)</f>
        <v>2022</v>
      </c>
      <c r="E169" s="7" t="n">
        <v>84.5408</v>
      </c>
      <c r="F169" s="7" t="n">
        <v>6620.8482</v>
      </c>
      <c r="G169" s="3" t="n">
        <f aca="false">E169+F169</f>
        <v>6705.389</v>
      </c>
      <c r="H169" s="2" t="n">
        <v>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/>
      <c r="R169" s="2"/>
      <c r="S169" s="2" t="s">
        <v>317</v>
      </c>
    </row>
    <row r="170" customFormat="false" ht="15" hidden="false" customHeight="false" outlineLevel="0" collapsed="false">
      <c r="A170" s="2" t="s">
        <v>459</v>
      </c>
      <c r="B170" s="2" t="s">
        <v>460</v>
      </c>
      <c r="C170" s="5" t="n">
        <v>44907</v>
      </c>
      <c r="D170" s="6" t="n">
        <f aca="false">YEAR(C170)</f>
        <v>2022</v>
      </c>
      <c r="E170" s="7" t="n">
        <v>67.1798</v>
      </c>
      <c r="F170" s="7" t="n">
        <v>606.3709</v>
      </c>
      <c r="G170" s="3" t="n">
        <f aca="false">E170+F170</f>
        <v>673.5507</v>
      </c>
      <c r="H170" s="2" t="n">
        <v>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/>
      <c r="R170" s="2"/>
      <c r="S170" s="2" t="s">
        <v>317</v>
      </c>
    </row>
    <row r="171" customFormat="false" ht="15" hidden="false" customHeight="false" outlineLevel="0" collapsed="false">
      <c r="A171" s="2" t="s">
        <v>461</v>
      </c>
      <c r="B171" s="2" t="s">
        <v>462</v>
      </c>
      <c r="C171" s="5" t="n">
        <v>44907</v>
      </c>
      <c r="D171" s="6" t="n">
        <f aca="false">YEAR(C171)</f>
        <v>2022</v>
      </c>
      <c r="E171" s="7" t="n">
        <v>38.64</v>
      </c>
      <c r="F171" s="7" t="n">
        <v>90.16</v>
      </c>
      <c r="G171" s="3" t="n">
        <f aca="false">E171+F171</f>
        <v>128.8</v>
      </c>
      <c r="H171" s="2" t="n">
        <v>0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/>
      <c r="R171" s="2"/>
      <c r="S171" s="2" t="s">
        <v>317</v>
      </c>
    </row>
    <row r="172" customFormat="false" ht="15" hidden="false" customHeight="false" outlineLevel="0" collapsed="false">
      <c r="A172" s="2" t="s">
        <v>463</v>
      </c>
      <c r="B172" s="2" t="s">
        <v>464</v>
      </c>
      <c r="C172" s="5" t="n">
        <v>44907</v>
      </c>
      <c r="D172" s="6" t="n">
        <f aca="false">YEAR(C172)</f>
        <v>2022</v>
      </c>
      <c r="E172" s="7" t="n">
        <v>39.312</v>
      </c>
      <c r="F172" s="7" t="n">
        <v>58.968</v>
      </c>
      <c r="G172" s="3" t="n">
        <f aca="false">E172+F172</f>
        <v>98.28</v>
      </c>
      <c r="H172" s="2" t="n">
        <v>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/>
      <c r="R172" s="2"/>
      <c r="S172" s="2" t="s">
        <v>317</v>
      </c>
    </row>
    <row r="173" customFormat="false" ht="15" hidden="false" customHeight="false" outlineLevel="0" collapsed="false">
      <c r="A173" s="2" t="s">
        <v>465</v>
      </c>
      <c r="B173" s="2" t="s">
        <v>466</v>
      </c>
      <c r="C173" s="5" t="n">
        <v>44909</v>
      </c>
      <c r="D173" s="6" t="n">
        <f aca="false">YEAR(C173)</f>
        <v>2022</v>
      </c>
      <c r="E173" s="7" t="n">
        <v>37.8</v>
      </c>
      <c r="F173" s="7" t="n">
        <v>88.2</v>
      </c>
      <c r="G173" s="3" t="n">
        <f aca="false">E173+F173</f>
        <v>126</v>
      </c>
      <c r="H173" s="2" t="n">
        <v>0</v>
      </c>
      <c r="I173" s="2" t="n">
        <v>0</v>
      </c>
      <c r="J173" s="2" t="n">
        <v>1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/>
      <c r="R173" s="2"/>
      <c r="S173" s="2" t="s">
        <v>317</v>
      </c>
    </row>
    <row r="174" customFormat="false" ht="15" hidden="false" customHeight="false" outlineLevel="0" collapsed="false">
      <c r="A174" s="2" t="s">
        <v>467</v>
      </c>
      <c r="B174" s="2" t="s">
        <v>468</v>
      </c>
      <c r="C174" s="5" t="n">
        <v>44910</v>
      </c>
      <c r="D174" s="6" t="n">
        <f aca="false">YEAR(C174)</f>
        <v>2022</v>
      </c>
      <c r="E174" s="7" t="n">
        <v>40.8423</v>
      </c>
      <c r="F174" s="7" t="n">
        <v>377.9474</v>
      </c>
      <c r="G174" s="3" t="n">
        <f aca="false">E174+F174</f>
        <v>418.7897</v>
      </c>
      <c r="H174" s="2" t="n">
        <v>1</v>
      </c>
      <c r="I174" s="2" t="n">
        <v>0</v>
      </c>
      <c r="J174" s="2" t="n">
        <v>1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/>
      <c r="R174" s="2"/>
      <c r="S174" s="2" t="s">
        <v>317</v>
      </c>
    </row>
    <row r="175" customFormat="false" ht="15" hidden="false" customHeight="false" outlineLevel="0" collapsed="false">
      <c r="A175" s="2" t="s">
        <v>469</v>
      </c>
      <c r="B175" s="2" t="s">
        <v>470</v>
      </c>
      <c r="C175" s="5" t="n">
        <v>44910</v>
      </c>
      <c r="D175" s="6" t="n">
        <f aca="false">YEAR(C175)</f>
        <v>2022</v>
      </c>
      <c r="E175" s="7" t="n">
        <v>50</v>
      </c>
      <c r="F175" s="7" t="n">
        <v>75</v>
      </c>
      <c r="G175" s="3" t="n">
        <f aca="false">E175+F175</f>
        <v>125</v>
      </c>
      <c r="H175" s="2" t="n">
        <v>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/>
      <c r="R175" s="2"/>
      <c r="S175" s="2" t="s">
        <v>317</v>
      </c>
    </row>
    <row r="176" customFormat="false" ht="15" hidden="false" customHeight="false" outlineLevel="0" collapsed="false">
      <c r="A176" s="2" t="s">
        <v>471</v>
      </c>
      <c r="B176" s="2" t="s">
        <v>472</v>
      </c>
      <c r="C176" s="5" t="n">
        <v>44910</v>
      </c>
      <c r="D176" s="6" t="n">
        <f aca="false">YEAR(C176)</f>
        <v>2022</v>
      </c>
      <c r="E176" s="7" t="n">
        <v>305.3868</v>
      </c>
      <c r="F176" s="7" t="n">
        <v>712.5656</v>
      </c>
      <c r="G176" s="3" t="n">
        <f aca="false">E176+F176</f>
        <v>1017.9524</v>
      </c>
      <c r="H176" s="2" t="n">
        <v>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/>
      <c r="R176" s="2"/>
      <c r="S176" s="2" t="s">
        <v>317</v>
      </c>
    </row>
    <row r="177" customFormat="false" ht="15" hidden="false" customHeight="false" outlineLevel="0" collapsed="false">
      <c r="A177" s="2" t="s">
        <v>473</v>
      </c>
      <c r="B177" s="2" t="s">
        <v>474</v>
      </c>
      <c r="C177" s="5" t="n">
        <v>44917</v>
      </c>
      <c r="D177" s="6" t="n">
        <f aca="false">YEAR(C177)</f>
        <v>2022</v>
      </c>
      <c r="E177" s="7" t="n">
        <v>0</v>
      </c>
      <c r="F177" s="7" t="n">
        <v>0</v>
      </c>
      <c r="G177" s="3" t="n">
        <f aca="false">E177+F177</f>
        <v>0</v>
      </c>
      <c r="H177" s="2" t="n">
        <v>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/>
      <c r="R177" s="2"/>
      <c r="S177" s="2" t="s">
        <v>317</v>
      </c>
    </row>
    <row r="178" customFormat="false" ht="15" hidden="false" customHeight="false" outlineLevel="0" collapsed="false">
      <c r="A178" s="2" t="s">
        <v>475</v>
      </c>
      <c r="B178" s="2" t="s">
        <v>476</v>
      </c>
      <c r="C178" s="5" t="n">
        <v>44917</v>
      </c>
      <c r="D178" s="6" t="n">
        <f aca="false">YEAR(C178)</f>
        <v>2022</v>
      </c>
      <c r="E178" s="7" t="n">
        <v>44.4755</v>
      </c>
      <c r="F178" s="7" t="n">
        <v>912.0636</v>
      </c>
      <c r="G178" s="3" t="n">
        <f aca="false">E178+F178</f>
        <v>956.5391</v>
      </c>
      <c r="H178" s="2" t="n">
        <v>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/>
      <c r="R178" s="2"/>
      <c r="S178" s="2" t="s">
        <v>317</v>
      </c>
    </row>
    <row r="179" customFormat="false" ht="15" hidden="false" customHeight="false" outlineLevel="0" collapsed="false">
      <c r="A179" s="2" t="s">
        <v>477</v>
      </c>
      <c r="B179" s="2" t="s">
        <v>478</v>
      </c>
      <c r="C179" s="5" t="n">
        <v>44918</v>
      </c>
      <c r="D179" s="6" t="n">
        <f aca="false">YEAR(C179)</f>
        <v>2022</v>
      </c>
      <c r="E179" s="7" t="n">
        <v>18.4512</v>
      </c>
      <c r="F179" s="7" t="n">
        <v>166.0496</v>
      </c>
      <c r="G179" s="3" t="n">
        <f aca="false">E179+F179</f>
        <v>184.5008</v>
      </c>
      <c r="H179" s="2" t="n">
        <v>0</v>
      </c>
      <c r="I179" s="2" t="n">
        <v>0</v>
      </c>
      <c r="J179" s="2" t="n">
        <v>1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/>
      <c r="R179" s="2"/>
      <c r="S179" s="2" t="s">
        <v>317</v>
      </c>
    </row>
    <row r="180" customFormat="false" ht="15" hidden="false" customHeight="false" outlineLevel="0" collapsed="false">
      <c r="A180" s="2" t="s">
        <v>479</v>
      </c>
      <c r="B180" s="2" t="s">
        <v>480</v>
      </c>
      <c r="C180" s="5" t="n">
        <v>44918</v>
      </c>
      <c r="D180" s="6" t="n">
        <f aca="false">YEAR(C180)</f>
        <v>2022</v>
      </c>
      <c r="E180" s="7" t="n">
        <v>0</v>
      </c>
      <c r="F180" s="7" t="n">
        <v>1001</v>
      </c>
      <c r="G180" s="3" t="n">
        <f aca="false">E180+F180</f>
        <v>1001</v>
      </c>
      <c r="H180" s="2" t="n">
        <v>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/>
      <c r="R180" s="2"/>
      <c r="S180" s="2" t="s">
        <v>317</v>
      </c>
    </row>
    <row r="181" customFormat="false" ht="15" hidden="false" customHeight="false" outlineLevel="0" collapsed="false">
      <c r="A181" s="2" t="s">
        <v>481</v>
      </c>
      <c r="B181" s="2" t="s">
        <v>482</v>
      </c>
      <c r="C181" s="5" t="n">
        <v>44918</v>
      </c>
      <c r="D181" s="6" t="n">
        <f aca="false">YEAR(C181)</f>
        <v>2022</v>
      </c>
      <c r="E181" s="7" t="n">
        <v>48.0832</v>
      </c>
      <c r="F181" s="7" t="n">
        <v>432.6872</v>
      </c>
      <c r="G181" s="3" t="n">
        <f aca="false">E181+F181</f>
        <v>480.7704</v>
      </c>
      <c r="H181" s="2" t="n">
        <v>0</v>
      </c>
      <c r="I181" s="2" t="n">
        <v>0</v>
      </c>
      <c r="J181" s="2" t="n">
        <v>1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/>
      <c r="R181" s="2"/>
      <c r="S181" s="2" t="s">
        <v>317</v>
      </c>
    </row>
    <row r="182" customFormat="false" ht="15" hidden="false" customHeight="false" outlineLevel="0" collapsed="false">
      <c r="A182" s="2" t="s">
        <v>483</v>
      </c>
      <c r="B182" s="2" t="s">
        <v>484</v>
      </c>
      <c r="C182" s="5" t="n">
        <v>44924</v>
      </c>
      <c r="D182" s="6" t="n">
        <f aca="false">YEAR(C182)</f>
        <v>2022</v>
      </c>
      <c r="E182" s="7" t="n">
        <v>10.221</v>
      </c>
      <c r="F182" s="7" t="n">
        <v>91.9895</v>
      </c>
      <c r="G182" s="3" t="n">
        <f aca="false">E182+F182</f>
        <v>102.2105</v>
      </c>
      <c r="H182" s="2" t="n">
        <v>0</v>
      </c>
      <c r="I182" s="2" t="n">
        <v>0</v>
      </c>
      <c r="J182" s="2" t="n">
        <v>1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/>
      <c r="R182" s="2"/>
      <c r="S182" s="2" t="s">
        <v>317</v>
      </c>
    </row>
    <row r="183" customFormat="false" ht="15" hidden="false" customHeight="false" outlineLevel="0" collapsed="false">
      <c r="A183" s="2" t="s">
        <v>485</v>
      </c>
      <c r="B183" s="2" t="s">
        <v>486</v>
      </c>
      <c r="C183" s="5" t="n">
        <v>44924</v>
      </c>
      <c r="D183" s="6" t="n">
        <f aca="false">YEAR(C183)</f>
        <v>2022</v>
      </c>
      <c r="E183" s="7" t="n">
        <v>39.0504</v>
      </c>
      <c r="F183" s="7" t="n">
        <v>362.1172</v>
      </c>
      <c r="G183" s="3" t="n">
        <f aca="false">E183+F183</f>
        <v>401.1676</v>
      </c>
      <c r="H183" s="2" t="n">
        <v>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/>
      <c r="R183" s="2"/>
      <c r="S183" s="2" t="s">
        <v>317</v>
      </c>
    </row>
    <row r="184" customFormat="false" ht="15" hidden="false" customHeight="false" outlineLevel="0" collapsed="false">
      <c r="A184" s="2" t="s">
        <v>487</v>
      </c>
      <c r="B184" s="2" t="s">
        <v>488</v>
      </c>
      <c r="C184" s="5" t="n">
        <v>44925</v>
      </c>
      <c r="D184" s="6" t="n">
        <f aca="false">YEAR(C184)</f>
        <v>2022</v>
      </c>
      <c r="E184" s="7" t="n">
        <v>19.6096</v>
      </c>
      <c r="F184" s="7" t="n">
        <v>180.3648</v>
      </c>
      <c r="G184" s="3" t="n">
        <f aca="false">E184+F184</f>
        <v>199.9744</v>
      </c>
      <c r="H184" s="2" t="n">
        <v>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/>
      <c r="R184" s="2"/>
      <c r="S184" s="2" t="s">
        <v>317</v>
      </c>
    </row>
    <row r="185" customFormat="false" ht="15" hidden="false" customHeight="false" outlineLevel="0" collapsed="false">
      <c r="A185" s="2" t="s">
        <v>489</v>
      </c>
      <c r="B185" s="2" t="s">
        <v>490</v>
      </c>
      <c r="C185" s="5" t="n">
        <v>44925</v>
      </c>
      <c r="D185" s="6" t="n">
        <f aca="false">YEAR(C185)</f>
        <v>2022</v>
      </c>
      <c r="E185" s="7" t="n">
        <v>20.9979</v>
      </c>
      <c r="F185" s="7" t="n">
        <v>188.9811</v>
      </c>
      <c r="G185" s="3" t="n">
        <f aca="false">E185+F185</f>
        <v>209.979</v>
      </c>
      <c r="H185" s="2" t="n">
        <v>1</v>
      </c>
      <c r="I185" s="2" t="n">
        <v>0</v>
      </c>
      <c r="J185" s="2" t="n">
        <v>1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/>
      <c r="R185" s="2"/>
      <c r="S185" s="2" t="s">
        <v>317</v>
      </c>
    </row>
    <row r="186" customFormat="false" ht="15" hidden="false" customHeight="false" outlineLevel="0" collapsed="false">
      <c r="A186" s="2" t="s">
        <v>491</v>
      </c>
      <c r="B186" s="2" t="s">
        <v>492</v>
      </c>
      <c r="C186" s="5" t="n">
        <v>44925</v>
      </c>
      <c r="D186" s="6" t="n">
        <f aca="false">YEAR(C186)</f>
        <v>2022</v>
      </c>
      <c r="E186" s="7" t="n">
        <v>0</v>
      </c>
      <c r="F186" s="7" t="n">
        <v>0</v>
      </c>
      <c r="G186" s="3" t="n">
        <f aca="false">E186+F186</f>
        <v>0</v>
      </c>
      <c r="H186" s="2" t="n">
        <v>0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/>
      <c r="R186" s="2"/>
      <c r="S186" s="2" t="s">
        <v>317</v>
      </c>
    </row>
    <row r="187" customFormat="false" ht="15" hidden="false" customHeight="false" outlineLevel="0" collapsed="false">
      <c r="A187" s="2" t="s">
        <v>493</v>
      </c>
      <c r="B187" s="2" t="s">
        <v>494</v>
      </c>
      <c r="C187" s="5" t="n">
        <v>44925</v>
      </c>
      <c r="D187" s="6" t="n">
        <f aca="false">YEAR(C187)</f>
        <v>2022</v>
      </c>
      <c r="E187" s="7" t="n">
        <v>0</v>
      </c>
      <c r="F187" s="7" t="n">
        <v>0</v>
      </c>
      <c r="G187" s="3" t="n">
        <f aca="false">E187+F187</f>
        <v>0</v>
      </c>
      <c r="H187" s="2" t="n">
        <v>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/>
      <c r="R187" s="2"/>
      <c r="S187" s="2" t="s">
        <v>317</v>
      </c>
    </row>
    <row r="188" customFormat="false" ht="15" hidden="false" customHeight="false" outlineLevel="0" collapsed="false">
      <c r="A188" s="2" t="s">
        <v>495</v>
      </c>
      <c r="B188" s="2" t="s">
        <v>496</v>
      </c>
      <c r="C188" s="5" t="n">
        <v>44925</v>
      </c>
      <c r="D188" s="6" t="n">
        <f aca="false">YEAR(C188)</f>
        <v>2022</v>
      </c>
      <c r="E188" s="7" t="n">
        <v>21.1781</v>
      </c>
      <c r="F188" s="7" t="n">
        <v>190.579</v>
      </c>
      <c r="G188" s="3" t="n">
        <f aca="false">E188+F188</f>
        <v>211.7571</v>
      </c>
      <c r="H188" s="2" t="n">
        <v>1</v>
      </c>
      <c r="I188" s="2" t="n">
        <v>0</v>
      </c>
      <c r="J188" s="2" t="n">
        <v>1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/>
      <c r="R188" s="2"/>
      <c r="S188" s="2" t="s">
        <v>317</v>
      </c>
    </row>
    <row r="189" customFormat="false" ht="15" hidden="false" customHeight="false" outlineLevel="0" collapsed="false">
      <c r="A189" s="2" t="s">
        <v>497</v>
      </c>
      <c r="B189" s="2" t="s">
        <v>498</v>
      </c>
      <c r="C189" s="5" t="n">
        <v>44935</v>
      </c>
      <c r="D189" s="6" t="n">
        <f aca="false">YEAR(C189)</f>
        <v>2023</v>
      </c>
      <c r="E189" s="7" t="n">
        <v>59.4</v>
      </c>
      <c r="F189" s="7" t="n">
        <v>138.6</v>
      </c>
      <c r="G189" s="3" t="n">
        <f aca="false">E189+F189</f>
        <v>198</v>
      </c>
      <c r="H189" s="2" t="n">
        <v>0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/>
      <c r="R189" s="2"/>
      <c r="S189" s="2" t="s">
        <v>499</v>
      </c>
    </row>
    <row r="190" customFormat="false" ht="15" hidden="false" customHeight="false" outlineLevel="0" collapsed="false">
      <c r="A190" s="2" t="s">
        <v>500</v>
      </c>
      <c r="B190" s="2" t="s">
        <v>501</v>
      </c>
      <c r="C190" s="5" t="n">
        <v>44938</v>
      </c>
      <c r="D190" s="6" t="n">
        <f aca="false">YEAR(C190)</f>
        <v>2023</v>
      </c>
      <c r="E190" s="7" t="n">
        <v>30.501</v>
      </c>
      <c r="F190" s="7" t="n">
        <v>1067.406</v>
      </c>
      <c r="G190" s="3" t="n">
        <f aca="false">E190+F190</f>
        <v>1097.907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/>
      <c r="R190" s="2"/>
      <c r="S190" s="2" t="s">
        <v>499</v>
      </c>
    </row>
    <row r="191" customFormat="false" ht="15" hidden="false" customHeight="false" outlineLevel="0" collapsed="false">
      <c r="A191" s="2" t="s">
        <v>502</v>
      </c>
      <c r="B191" s="2" t="s">
        <v>503</v>
      </c>
      <c r="C191" s="5" t="n">
        <v>44939</v>
      </c>
      <c r="D191" s="6" t="n">
        <f aca="false">YEAR(C191)</f>
        <v>2023</v>
      </c>
      <c r="E191" s="7" t="n">
        <v>40.8</v>
      </c>
      <c r="F191" s="7" t="n">
        <v>95.2</v>
      </c>
      <c r="G191" s="3" t="n">
        <f aca="false">E191+F191</f>
        <v>136</v>
      </c>
      <c r="H191" s="2" t="n">
        <v>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/>
      <c r="R191" s="2"/>
      <c r="S191" s="2" t="s">
        <v>499</v>
      </c>
    </row>
    <row r="192" customFormat="false" ht="15" hidden="false" customHeight="false" outlineLevel="0" collapsed="false">
      <c r="A192" s="2" t="s">
        <v>504</v>
      </c>
      <c r="B192" s="2" t="s">
        <v>505</v>
      </c>
      <c r="C192" s="5" t="n">
        <v>44942</v>
      </c>
      <c r="D192" s="6" t="n">
        <f aca="false">YEAR(C192)</f>
        <v>2023</v>
      </c>
      <c r="E192" s="7" t="n">
        <v>24.219</v>
      </c>
      <c r="F192" s="7" t="n">
        <v>56.511</v>
      </c>
      <c r="G192" s="3" t="n">
        <f aca="false">E192+F192</f>
        <v>80.73</v>
      </c>
      <c r="H192" s="2" t="n">
        <v>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/>
      <c r="R192" s="2"/>
      <c r="S192" s="2" t="s">
        <v>499</v>
      </c>
    </row>
    <row r="193" customFormat="false" ht="15" hidden="false" customHeight="false" outlineLevel="0" collapsed="false">
      <c r="A193" s="2" t="s">
        <v>506</v>
      </c>
      <c r="B193" s="2" t="s">
        <v>507</v>
      </c>
      <c r="C193" s="5" t="n">
        <v>44942</v>
      </c>
      <c r="D193" s="6" t="n">
        <f aca="false">YEAR(C193)</f>
        <v>2023</v>
      </c>
      <c r="E193" s="7" t="n">
        <v>44.212</v>
      </c>
      <c r="F193" s="7" t="n">
        <v>451.6344</v>
      </c>
      <c r="G193" s="3" t="n">
        <f aca="false">E193+F193</f>
        <v>495.8464</v>
      </c>
      <c r="H193" s="2" t="n">
        <v>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/>
      <c r="R193" s="2"/>
      <c r="S193" s="2" t="s">
        <v>499</v>
      </c>
    </row>
    <row r="194" customFormat="false" ht="15" hidden="false" customHeight="false" outlineLevel="0" collapsed="false">
      <c r="A194" s="2" t="s">
        <v>508</v>
      </c>
      <c r="B194" s="2" t="s">
        <v>509</v>
      </c>
      <c r="C194" s="5" t="n">
        <v>44942</v>
      </c>
      <c r="D194" s="6" t="n">
        <f aca="false">YEAR(C194)</f>
        <v>2023</v>
      </c>
      <c r="E194" s="7" t="n">
        <v>234.9505</v>
      </c>
      <c r="F194" s="7" t="n">
        <v>665.6803</v>
      </c>
      <c r="G194" s="3" t="n">
        <f aca="false">E194+F194</f>
        <v>900.6308</v>
      </c>
      <c r="H194" s="2" t="n">
        <v>0</v>
      </c>
      <c r="I194" s="2" t="n">
        <v>0</v>
      </c>
      <c r="J194" s="2" t="n">
        <v>1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/>
      <c r="R194" s="2"/>
      <c r="S194" s="2" t="s">
        <v>499</v>
      </c>
    </row>
    <row r="195" customFormat="false" ht="15" hidden="false" customHeight="false" outlineLevel="0" collapsed="false">
      <c r="A195" s="2" t="s">
        <v>510</v>
      </c>
      <c r="B195" s="2" t="s">
        <v>511</v>
      </c>
      <c r="C195" s="5" t="n">
        <v>44943</v>
      </c>
      <c r="D195" s="6" t="n">
        <f aca="false">YEAR(C195)</f>
        <v>2023</v>
      </c>
      <c r="E195" s="7" t="n">
        <v>27.584</v>
      </c>
      <c r="F195" s="7" t="n">
        <v>248.256</v>
      </c>
      <c r="G195" s="3" t="n">
        <f aca="false">E195+F195</f>
        <v>275.84</v>
      </c>
      <c r="H195" s="2" t="n">
        <v>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/>
      <c r="R195" s="2"/>
      <c r="S195" s="2" t="s">
        <v>499</v>
      </c>
    </row>
    <row r="196" customFormat="false" ht="15" hidden="false" customHeight="false" outlineLevel="0" collapsed="false">
      <c r="A196" s="2" t="s">
        <v>512</v>
      </c>
      <c r="B196" s="2" t="s">
        <v>513</v>
      </c>
      <c r="C196" s="5" t="n">
        <v>44943</v>
      </c>
      <c r="D196" s="6" t="n">
        <f aca="false">YEAR(C196)</f>
        <v>2023</v>
      </c>
      <c r="E196" s="7" t="n">
        <v>12.75</v>
      </c>
      <c r="F196" s="7" t="n">
        <v>114.75</v>
      </c>
      <c r="G196" s="3" t="n">
        <f aca="false">E196+F196</f>
        <v>127.5</v>
      </c>
      <c r="H196" s="2" t="n">
        <v>0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/>
      <c r="R196" s="2"/>
      <c r="S196" s="2" t="s">
        <v>499</v>
      </c>
    </row>
    <row r="197" customFormat="false" ht="15" hidden="false" customHeight="false" outlineLevel="0" collapsed="false">
      <c r="A197" s="2" t="s">
        <v>514</v>
      </c>
      <c r="B197" s="2" t="s">
        <v>515</v>
      </c>
      <c r="C197" s="5" t="n">
        <v>44945</v>
      </c>
      <c r="D197" s="6" t="n">
        <f aca="false">YEAR(C197)</f>
        <v>2023</v>
      </c>
      <c r="E197" s="7" t="n">
        <v>146.9534</v>
      </c>
      <c r="F197" s="7" t="n">
        <v>350.321</v>
      </c>
      <c r="G197" s="3" t="n">
        <f aca="false">E197+F197</f>
        <v>497.2744</v>
      </c>
      <c r="H197" s="2" t="n">
        <v>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1</v>
      </c>
      <c r="O197" s="2" t="n">
        <v>0</v>
      </c>
      <c r="P197" s="2" t="n">
        <v>0</v>
      </c>
      <c r="Q197" s="2"/>
      <c r="R197" s="2"/>
      <c r="S197" s="2" t="s">
        <v>499</v>
      </c>
    </row>
    <row r="198" customFormat="false" ht="15" hidden="false" customHeight="false" outlineLevel="0" collapsed="false">
      <c r="A198" s="2" t="s">
        <v>516</v>
      </c>
      <c r="B198" s="2" t="s">
        <v>517</v>
      </c>
      <c r="C198" s="5" t="n">
        <v>44946</v>
      </c>
      <c r="D198" s="6" t="n">
        <f aca="false">YEAR(C198)</f>
        <v>2023</v>
      </c>
      <c r="E198" s="7" t="n">
        <v>25.212</v>
      </c>
      <c r="F198" s="7" t="n">
        <v>100.848</v>
      </c>
      <c r="G198" s="3" t="n">
        <f aca="false">E198+F198</f>
        <v>126.06</v>
      </c>
      <c r="H198" s="2" t="n">
        <v>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/>
      <c r="R198" s="2"/>
      <c r="S198" s="2" t="s">
        <v>499</v>
      </c>
    </row>
    <row r="199" customFormat="false" ht="15" hidden="false" customHeight="false" outlineLevel="0" collapsed="false">
      <c r="A199" s="2" t="s">
        <v>518</v>
      </c>
      <c r="B199" s="2" t="s">
        <v>519</v>
      </c>
      <c r="C199" s="5" t="n">
        <v>44994</v>
      </c>
      <c r="D199" s="6" t="n">
        <f aca="false">YEAR(C199)</f>
        <v>2023</v>
      </c>
      <c r="E199" s="7" t="n">
        <v>37.5956</v>
      </c>
      <c r="F199" s="7" t="n">
        <v>87.7163</v>
      </c>
      <c r="G199" s="3" t="n">
        <f aca="false">E199+F199</f>
        <v>125.3119</v>
      </c>
      <c r="H199" s="2" t="n">
        <v>0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/>
      <c r="R199" s="2"/>
      <c r="S199" s="2" t="s">
        <v>499</v>
      </c>
    </row>
    <row r="200" customFormat="false" ht="15" hidden="false" customHeight="false" outlineLevel="0" collapsed="false">
      <c r="A200" s="2" t="s">
        <v>520</v>
      </c>
      <c r="B200" s="2" t="s">
        <v>521</v>
      </c>
      <c r="C200" s="5" t="n">
        <v>44995</v>
      </c>
      <c r="D200" s="6" t="n">
        <f aca="false">YEAR(C200)</f>
        <v>2023</v>
      </c>
      <c r="E200" s="7" t="n">
        <v>101.354</v>
      </c>
      <c r="F200" s="7" t="n">
        <v>917.575</v>
      </c>
      <c r="G200" s="3" t="n">
        <f aca="false">E200+F200</f>
        <v>1018.929</v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/>
      <c r="R200" s="2"/>
      <c r="S200" s="2" t="s">
        <v>499</v>
      </c>
    </row>
    <row r="201" customFormat="false" ht="15" hidden="false" customHeight="false" outlineLevel="0" collapsed="false">
      <c r="A201" s="2" t="s">
        <v>522</v>
      </c>
      <c r="B201" s="2" t="s">
        <v>523</v>
      </c>
      <c r="C201" s="5" t="n">
        <v>45008</v>
      </c>
      <c r="D201" s="6" t="n">
        <f aca="false">YEAR(C201)</f>
        <v>2023</v>
      </c>
      <c r="E201" s="7" t="n">
        <v>0</v>
      </c>
      <c r="F201" s="7" t="n">
        <v>0</v>
      </c>
      <c r="G201" s="3" t="n">
        <f aca="false">E201+F201</f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/>
      <c r="R201" s="2"/>
      <c r="S201" s="2" t="s">
        <v>499</v>
      </c>
    </row>
    <row r="202" customFormat="false" ht="15" hidden="false" customHeight="false" outlineLevel="0" collapsed="false">
      <c r="A202" s="2" t="s">
        <v>524</v>
      </c>
      <c r="B202" s="2" t="s">
        <v>525</v>
      </c>
      <c r="C202" s="5" t="n">
        <v>45013</v>
      </c>
      <c r="D202" s="6" t="n">
        <f aca="false">YEAR(C202)</f>
        <v>2023</v>
      </c>
      <c r="E202" s="7" t="n">
        <v>26.473</v>
      </c>
      <c r="F202" s="7" t="n">
        <v>600.2402</v>
      </c>
      <c r="G202" s="3" t="n">
        <f aca="false">E202+F202</f>
        <v>626.7132</v>
      </c>
      <c r="H202" s="2" t="n">
        <v>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/>
      <c r="R202" s="2"/>
      <c r="S202" s="2" t="s">
        <v>499</v>
      </c>
    </row>
    <row r="203" customFormat="false" ht="15" hidden="false" customHeight="false" outlineLevel="0" collapsed="false">
      <c r="A203" s="2" t="s">
        <v>526</v>
      </c>
      <c r="B203" s="2" t="s">
        <v>527</v>
      </c>
      <c r="C203" s="5" t="n">
        <v>45014</v>
      </c>
      <c r="D203" s="6" t="n">
        <f aca="false">YEAR(C203)</f>
        <v>2023</v>
      </c>
      <c r="E203" s="7" t="n">
        <v>40.875</v>
      </c>
      <c r="F203" s="7" t="n">
        <v>367.875</v>
      </c>
      <c r="G203" s="3" t="n">
        <f aca="false">E203+F203</f>
        <v>408.75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/>
      <c r="R203" s="2"/>
      <c r="S203" s="2" t="s">
        <v>499</v>
      </c>
    </row>
    <row r="204" customFormat="false" ht="15" hidden="false" customHeight="false" outlineLevel="0" collapsed="false">
      <c r="A204" s="2" t="s">
        <v>528</v>
      </c>
      <c r="B204" s="2" t="s">
        <v>529</v>
      </c>
      <c r="C204" s="5" t="n">
        <v>45015</v>
      </c>
      <c r="D204" s="6" t="n">
        <f aca="false">YEAR(C204)</f>
        <v>2023</v>
      </c>
      <c r="E204" s="7" t="n">
        <v>14.16</v>
      </c>
      <c r="F204" s="7" t="n">
        <v>127.44</v>
      </c>
      <c r="G204" s="3" t="n">
        <f aca="false">E204+F204</f>
        <v>141.6</v>
      </c>
      <c r="H204" s="2" t="n">
        <v>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1</v>
      </c>
      <c r="Q204" s="2"/>
      <c r="R204" s="2"/>
      <c r="S204" s="2" t="s">
        <v>499</v>
      </c>
    </row>
    <row r="205" customFormat="false" ht="15" hidden="false" customHeight="false" outlineLevel="0" collapsed="false">
      <c r="A205" s="2" t="s">
        <v>530</v>
      </c>
      <c r="B205" s="2" t="s">
        <v>531</v>
      </c>
      <c r="C205" s="5" t="n">
        <v>45016</v>
      </c>
      <c r="D205" s="6" t="n">
        <f aca="false">YEAR(C205)</f>
        <v>2023</v>
      </c>
      <c r="E205" s="7" t="n">
        <v>52.5</v>
      </c>
      <c r="F205" s="7" t="n">
        <v>210</v>
      </c>
      <c r="G205" s="3" t="n">
        <f aca="false">E205+F205</f>
        <v>262.5</v>
      </c>
      <c r="H205" s="2" t="n">
        <v>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/>
      <c r="R205" s="2"/>
      <c r="S205" s="2" t="s">
        <v>499</v>
      </c>
    </row>
    <row r="206" customFormat="false" ht="15" hidden="false" customHeight="false" outlineLevel="0" collapsed="false">
      <c r="A206" s="2" t="s">
        <v>532</v>
      </c>
      <c r="B206" s="2" t="s">
        <v>533</v>
      </c>
      <c r="C206" s="5" t="n">
        <v>45016</v>
      </c>
      <c r="D206" s="6" t="n">
        <f aca="false">YEAR(C206)</f>
        <v>2023</v>
      </c>
      <c r="E206" s="7" t="n">
        <v>14</v>
      </c>
      <c r="F206" s="7" t="n">
        <v>126</v>
      </c>
      <c r="G206" s="3" t="n">
        <f aca="false">E206+F206</f>
        <v>140</v>
      </c>
      <c r="H206" s="2" t="n">
        <v>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/>
      <c r="R206" s="2"/>
      <c r="S206" s="2" t="s">
        <v>499</v>
      </c>
    </row>
    <row r="207" customFormat="false" ht="15" hidden="false" customHeight="false" outlineLevel="0" collapsed="false">
      <c r="A207" s="2" t="s">
        <v>534</v>
      </c>
      <c r="B207" s="2" t="s">
        <v>535</v>
      </c>
      <c r="C207" s="5" t="n">
        <v>45029</v>
      </c>
      <c r="D207" s="6" t="n">
        <f aca="false">YEAR(C207)</f>
        <v>2023</v>
      </c>
      <c r="E207" s="7" t="n">
        <v>71.672</v>
      </c>
      <c r="F207" s="7" t="n">
        <v>167.2348</v>
      </c>
      <c r="G207" s="3" t="n">
        <f aca="false">E207+F207</f>
        <v>238.9068</v>
      </c>
      <c r="H207" s="2" t="n">
        <v>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/>
      <c r="R207" s="2"/>
      <c r="S207" s="2" t="s">
        <v>499</v>
      </c>
    </row>
    <row r="208" customFormat="false" ht="15" hidden="false" customHeight="false" outlineLevel="0" collapsed="false">
      <c r="A208" s="2" t="s">
        <v>536</v>
      </c>
      <c r="B208" s="2" t="s">
        <v>537</v>
      </c>
      <c r="C208" s="5" t="n">
        <v>45030</v>
      </c>
      <c r="D208" s="6" t="n">
        <f aca="false">YEAR(C208)</f>
        <v>2023</v>
      </c>
      <c r="E208" s="7" t="n">
        <v>0</v>
      </c>
      <c r="F208" s="7" t="n">
        <v>0</v>
      </c>
      <c r="G208" s="3" t="n">
        <f aca="false">E208+F208</f>
        <v>0</v>
      </c>
      <c r="H208" s="2" t="n">
        <v>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/>
      <c r="R208" s="2"/>
      <c r="S208" s="2" t="s">
        <v>499</v>
      </c>
    </row>
    <row r="209" customFormat="false" ht="15" hidden="false" customHeight="false" outlineLevel="0" collapsed="false">
      <c r="A209" s="2" t="s">
        <v>538</v>
      </c>
      <c r="B209" s="2" t="s">
        <v>539</v>
      </c>
      <c r="C209" s="5" t="n">
        <v>45043</v>
      </c>
      <c r="D209" s="6" t="n">
        <f aca="false">YEAR(C209)</f>
        <v>2023</v>
      </c>
      <c r="E209" s="7" t="n">
        <v>60.7789</v>
      </c>
      <c r="F209" s="7" t="n">
        <v>547.001</v>
      </c>
      <c r="G209" s="3" t="n">
        <f aca="false">E209+F209</f>
        <v>607.7799</v>
      </c>
      <c r="H209" s="2" t="n">
        <v>0</v>
      </c>
      <c r="I209" s="2" t="n">
        <v>0</v>
      </c>
      <c r="J209" s="2" t="n">
        <v>1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/>
      <c r="R209" s="2"/>
      <c r="S209" s="2" t="s">
        <v>499</v>
      </c>
    </row>
    <row r="210" customFormat="false" ht="15" hidden="false" customHeight="false" outlineLevel="0" collapsed="false">
      <c r="A210" s="2" t="s">
        <v>540</v>
      </c>
      <c r="B210" s="2" t="s">
        <v>541</v>
      </c>
      <c r="C210" s="5" t="n">
        <v>45043</v>
      </c>
      <c r="D210" s="6" t="n">
        <f aca="false">YEAR(C210)</f>
        <v>2023</v>
      </c>
      <c r="E210" s="7" t="n">
        <v>530.9374</v>
      </c>
      <c r="F210" s="7" t="n">
        <v>4778.4344</v>
      </c>
      <c r="G210" s="3" t="n">
        <f aca="false">E210+F210</f>
        <v>5309.3718</v>
      </c>
      <c r="H210" s="2" t="n">
        <v>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/>
      <c r="R210" s="2"/>
      <c r="S210" s="2" t="s">
        <v>499</v>
      </c>
    </row>
    <row r="211" customFormat="false" ht="15" hidden="false" customHeight="false" outlineLevel="0" collapsed="false">
      <c r="A211" s="2" t="s">
        <v>542</v>
      </c>
      <c r="B211" s="2" t="s">
        <v>543</v>
      </c>
      <c r="C211" s="5" t="n">
        <v>45054</v>
      </c>
      <c r="D211" s="6" t="n">
        <f aca="false">YEAR(C211)</f>
        <v>2023</v>
      </c>
      <c r="E211" s="7" t="n">
        <v>34.0726</v>
      </c>
      <c r="F211" s="7" t="n">
        <v>306.5882</v>
      </c>
      <c r="G211" s="3" t="n">
        <f aca="false">E211+F211</f>
        <v>340.6608</v>
      </c>
      <c r="H211" s="2" t="n">
        <v>1</v>
      </c>
      <c r="I211" s="2" t="n">
        <v>0</v>
      </c>
      <c r="J211" s="2" t="n">
        <v>1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/>
      <c r="R211" s="2"/>
      <c r="S211" s="2" t="s">
        <v>499</v>
      </c>
    </row>
    <row r="212" customFormat="false" ht="15" hidden="false" customHeight="false" outlineLevel="0" collapsed="false">
      <c r="A212" s="2" t="s">
        <v>544</v>
      </c>
      <c r="B212" s="2" t="s">
        <v>545</v>
      </c>
      <c r="C212" s="5" t="n">
        <v>45055</v>
      </c>
      <c r="D212" s="6" t="n">
        <f aca="false">YEAR(C212)</f>
        <v>2023</v>
      </c>
      <c r="E212" s="7" t="n">
        <v>39.168</v>
      </c>
      <c r="F212" s="7" t="n">
        <v>91.392</v>
      </c>
      <c r="G212" s="3" t="n">
        <f aca="false">E212+F212</f>
        <v>130.56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/>
      <c r="R212" s="2"/>
      <c r="S212" s="2" t="s">
        <v>499</v>
      </c>
    </row>
    <row r="213" customFormat="false" ht="15" hidden="false" customHeight="false" outlineLevel="0" collapsed="false">
      <c r="A213" s="2" t="s">
        <v>546</v>
      </c>
      <c r="B213" s="2" t="s">
        <v>547</v>
      </c>
      <c r="C213" s="5" t="n">
        <v>45057</v>
      </c>
      <c r="D213" s="6" t="n">
        <f aca="false">YEAR(C213)</f>
        <v>2023</v>
      </c>
      <c r="E213" s="7" t="n">
        <v>26.5</v>
      </c>
      <c r="F213" s="7" t="n">
        <v>238.5</v>
      </c>
      <c r="G213" s="3" t="n">
        <f aca="false">E213+F213</f>
        <v>265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/>
      <c r="R213" s="2"/>
      <c r="S213" s="2" t="s">
        <v>499</v>
      </c>
    </row>
    <row r="214" customFormat="false" ht="15" hidden="false" customHeight="false" outlineLevel="0" collapsed="false">
      <c r="A214" s="2" t="s">
        <v>548</v>
      </c>
      <c r="B214" s="2" t="s">
        <v>549</v>
      </c>
      <c r="C214" s="5" t="n">
        <v>45063</v>
      </c>
      <c r="D214" s="6" t="n">
        <f aca="false">YEAR(C214)</f>
        <v>2023</v>
      </c>
      <c r="E214" s="7" t="n">
        <v>0</v>
      </c>
      <c r="F214" s="7" t="n">
        <v>0</v>
      </c>
      <c r="G214" s="3" t="n">
        <f aca="false">E214+F214</f>
        <v>0</v>
      </c>
      <c r="H214" s="2" t="n">
        <v>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/>
      <c r="R214" s="2"/>
      <c r="S214" s="2" t="s">
        <v>499</v>
      </c>
    </row>
    <row r="215" customFormat="false" ht="15" hidden="false" customHeight="false" outlineLevel="0" collapsed="false">
      <c r="A215" s="2" t="s">
        <v>550</v>
      </c>
      <c r="B215" s="2" t="s">
        <v>551</v>
      </c>
      <c r="C215" s="5" t="n">
        <v>45071</v>
      </c>
      <c r="D215" s="6" t="n">
        <f aca="false">YEAR(C215)</f>
        <v>2023</v>
      </c>
      <c r="E215" s="7" t="n">
        <v>20.9761</v>
      </c>
      <c r="F215" s="7" t="n">
        <v>575.9031</v>
      </c>
      <c r="G215" s="3" t="n">
        <f aca="false">E215+F215</f>
        <v>596.8792</v>
      </c>
      <c r="H215" s="2" t="n">
        <v>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/>
      <c r="R215" s="2"/>
      <c r="S215" s="2" t="s">
        <v>499</v>
      </c>
    </row>
    <row r="216" customFormat="false" ht="15" hidden="false" customHeight="false" outlineLevel="0" collapsed="false">
      <c r="A216" s="2" t="s">
        <v>552</v>
      </c>
      <c r="B216" s="2" t="s">
        <v>553</v>
      </c>
      <c r="C216" s="5" t="n">
        <v>45071</v>
      </c>
      <c r="D216" s="6" t="n">
        <f aca="false">YEAR(C216)</f>
        <v>2023</v>
      </c>
      <c r="E216" s="7" t="n">
        <v>20.2767</v>
      </c>
      <c r="F216" s="7" t="n">
        <v>1628.1402</v>
      </c>
      <c r="G216" s="3" t="n">
        <f aca="false">E216+F216</f>
        <v>1648.4169</v>
      </c>
      <c r="H216" s="2" t="n">
        <v>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1</v>
      </c>
      <c r="Q216" s="2"/>
      <c r="R216" s="2"/>
      <c r="S216" s="2" t="s">
        <v>499</v>
      </c>
    </row>
    <row r="217" customFormat="false" ht="15" hidden="false" customHeight="false" outlineLevel="0" collapsed="false">
      <c r="A217" s="2" t="s">
        <v>554</v>
      </c>
      <c r="B217" s="2" t="s">
        <v>555</v>
      </c>
      <c r="C217" s="5" t="n">
        <v>45089</v>
      </c>
      <c r="D217" s="6" t="n">
        <f aca="false">YEAR(C217)</f>
        <v>2023</v>
      </c>
      <c r="E217" s="7" t="n">
        <v>46.5055</v>
      </c>
      <c r="F217" s="7" t="n">
        <v>418.5018</v>
      </c>
      <c r="G217" s="3" t="n">
        <f aca="false">E217+F217</f>
        <v>465.0073</v>
      </c>
      <c r="H217" s="2" t="n">
        <v>1</v>
      </c>
      <c r="I217" s="2" t="n">
        <v>0</v>
      </c>
      <c r="J217" s="2" t="n">
        <v>1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/>
      <c r="R217" s="2"/>
      <c r="S217" s="2" t="s">
        <v>499</v>
      </c>
    </row>
    <row r="218" customFormat="false" ht="15" hidden="false" customHeight="false" outlineLevel="0" collapsed="false">
      <c r="A218" s="2" t="s">
        <v>556</v>
      </c>
      <c r="B218" s="2" t="s">
        <v>557</v>
      </c>
      <c r="C218" s="5" t="n">
        <v>45104</v>
      </c>
      <c r="D218" s="6" t="n">
        <f aca="false">YEAR(C218)</f>
        <v>2023</v>
      </c>
      <c r="E218" s="7" t="n">
        <v>0</v>
      </c>
      <c r="F218" s="7" t="n">
        <v>0</v>
      </c>
      <c r="G218" s="3" t="n">
        <f aca="false">E218+F218</f>
        <v>0</v>
      </c>
      <c r="H218" s="2" t="n">
        <v>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/>
      <c r="R218" s="2"/>
      <c r="S218" s="2" t="s">
        <v>499</v>
      </c>
    </row>
    <row r="219" customFormat="false" ht="15" hidden="false" customHeight="false" outlineLevel="0" collapsed="false">
      <c r="A219" s="2" t="s">
        <v>558</v>
      </c>
      <c r="B219" s="2" t="s">
        <v>559</v>
      </c>
      <c r="C219" s="5" t="n">
        <v>45105</v>
      </c>
      <c r="D219" s="6" t="n">
        <f aca="false">YEAR(C219)</f>
        <v>2023</v>
      </c>
      <c r="E219" s="7" t="n">
        <v>31.624</v>
      </c>
      <c r="F219" s="7" t="n">
        <v>313.084</v>
      </c>
      <c r="G219" s="3" t="n">
        <f aca="false">E219+F219</f>
        <v>344.708</v>
      </c>
      <c r="H219" s="2" t="n">
        <v>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/>
      <c r="R219" s="2"/>
      <c r="S219" s="2" t="s">
        <v>499</v>
      </c>
    </row>
    <row r="220" customFormat="false" ht="15" hidden="false" customHeight="false" outlineLevel="0" collapsed="false">
      <c r="A220" s="2" t="s">
        <v>560</v>
      </c>
      <c r="B220" s="2" t="s">
        <v>561</v>
      </c>
      <c r="C220" s="5" t="n">
        <v>45106</v>
      </c>
      <c r="D220" s="6" t="n">
        <f aca="false">YEAR(C220)</f>
        <v>2023</v>
      </c>
      <c r="E220" s="7" t="n">
        <v>79.0889</v>
      </c>
      <c r="F220" s="7" t="n">
        <v>711.7755</v>
      </c>
      <c r="G220" s="3" t="n">
        <f aca="false">E220+F220</f>
        <v>790.8644</v>
      </c>
      <c r="H220" s="2" t="n">
        <v>1</v>
      </c>
      <c r="I220" s="2" t="n">
        <v>0</v>
      </c>
      <c r="J220" s="2" t="n">
        <v>1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/>
      <c r="R220" s="2"/>
      <c r="S220" s="2" t="s">
        <v>499</v>
      </c>
    </row>
    <row r="221" customFormat="false" ht="15" hidden="false" customHeight="false" outlineLevel="0" collapsed="false">
      <c r="A221" s="2" t="s">
        <v>562</v>
      </c>
      <c r="B221" s="2" t="s">
        <v>563</v>
      </c>
      <c r="C221" s="5" t="n">
        <v>45107</v>
      </c>
      <c r="D221" s="6" t="n">
        <f aca="false">YEAR(C221)</f>
        <v>2023</v>
      </c>
      <c r="E221" s="7" t="n">
        <v>40.9024</v>
      </c>
      <c r="F221" s="7" t="n">
        <v>416.108</v>
      </c>
      <c r="G221" s="3" t="n">
        <f aca="false">E221+F221</f>
        <v>457.0104</v>
      </c>
      <c r="H221" s="2" t="n">
        <v>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/>
      <c r="R221" s="2"/>
      <c r="S221" s="2" t="s">
        <v>499</v>
      </c>
    </row>
    <row r="222" customFormat="false" ht="15" hidden="false" customHeight="false" outlineLevel="0" collapsed="false">
      <c r="A222" s="2" t="s">
        <v>564</v>
      </c>
      <c r="B222" s="2" t="s">
        <v>565</v>
      </c>
      <c r="C222" s="5" t="n">
        <v>45117</v>
      </c>
      <c r="D222" s="6" t="n">
        <f aca="false">YEAR(C222)</f>
        <v>2023</v>
      </c>
      <c r="E222" s="7" t="n">
        <v>27.216</v>
      </c>
      <c r="F222" s="7" t="n">
        <v>244.944</v>
      </c>
      <c r="G222" s="3" t="n">
        <f aca="false">E222+F222</f>
        <v>272.16</v>
      </c>
      <c r="H222" s="2" t="n">
        <v>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/>
      <c r="R222" s="2"/>
      <c r="S222" s="2" t="s">
        <v>499</v>
      </c>
    </row>
    <row r="223" customFormat="false" ht="15" hidden="false" customHeight="false" outlineLevel="0" collapsed="false">
      <c r="A223" s="2" t="s">
        <v>566</v>
      </c>
      <c r="B223" s="2" t="s">
        <v>567</v>
      </c>
      <c r="C223" s="5" t="n">
        <v>45118</v>
      </c>
      <c r="D223" s="6" t="n">
        <f aca="false">YEAR(C223)</f>
        <v>2023</v>
      </c>
      <c r="E223" s="7" t="n">
        <v>136.0288</v>
      </c>
      <c r="F223" s="7" t="n">
        <v>1428.239</v>
      </c>
      <c r="G223" s="3" t="n">
        <f aca="false">E223+F223</f>
        <v>1564.2678</v>
      </c>
      <c r="H223" s="2" t="n">
        <v>1</v>
      </c>
      <c r="I223" s="2" t="n">
        <v>0</v>
      </c>
      <c r="J223" s="2" t="n">
        <v>1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/>
      <c r="R223" s="2"/>
      <c r="S223" s="2" t="s">
        <v>499</v>
      </c>
    </row>
    <row r="224" customFormat="false" ht="15" hidden="false" customHeight="false" outlineLevel="0" collapsed="false">
      <c r="A224" s="2" t="s">
        <v>568</v>
      </c>
      <c r="B224" s="2" t="s">
        <v>569</v>
      </c>
      <c r="C224" s="5" t="n">
        <v>45119</v>
      </c>
      <c r="D224" s="6" t="n">
        <f aca="false">YEAR(C224)</f>
        <v>2023</v>
      </c>
      <c r="E224" s="7" t="n">
        <v>31.3464</v>
      </c>
      <c r="F224" s="7" t="n">
        <v>282.1059</v>
      </c>
      <c r="G224" s="3" t="n">
        <f aca="false">E224+F224</f>
        <v>313.4523</v>
      </c>
      <c r="H224" s="2" t="n">
        <v>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/>
      <c r="R224" s="2"/>
      <c r="S224" s="2" t="s">
        <v>499</v>
      </c>
    </row>
    <row r="225" customFormat="false" ht="15" hidden="false" customHeight="false" outlineLevel="0" collapsed="false">
      <c r="A225" s="2" t="s">
        <v>570</v>
      </c>
      <c r="B225" s="2" t="s">
        <v>571</v>
      </c>
      <c r="C225" s="5" t="n">
        <v>45120</v>
      </c>
      <c r="D225" s="6" t="n">
        <f aca="false">YEAR(C225)</f>
        <v>2023</v>
      </c>
      <c r="E225" s="7" t="n">
        <v>53.822</v>
      </c>
      <c r="F225" s="7" t="n">
        <v>492.4199</v>
      </c>
      <c r="G225" s="3" t="n">
        <f aca="false">E225+F225</f>
        <v>546.2419</v>
      </c>
      <c r="H225" s="2" t="n">
        <v>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/>
      <c r="R225" s="2"/>
      <c r="S225" s="2" t="s">
        <v>499</v>
      </c>
    </row>
    <row r="226" customFormat="false" ht="15" hidden="false" customHeight="false" outlineLevel="0" collapsed="false">
      <c r="A226" s="2" t="s">
        <v>572</v>
      </c>
      <c r="B226" s="2" t="s">
        <v>573</v>
      </c>
      <c r="C226" s="5" t="n">
        <v>45124</v>
      </c>
      <c r="D226" s="6" t="n">
        <f aca="false">YEAR(C226)</f>
        <v>2023</v>
      </c>
      <c r="E226" s="7" t="n">
        <v>41.4</v>
      </c>
      <c r="F226" s="7" t="n">
        <v>96.6</v>
      </c>
      <c r="G226" s="3" t="n">
        <f aca="false">E226+F226</f>
        <v>138</v>
      </c>
      <c r="H226" s="2" t="n">
        <v>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1</v>
      </c>
      <c r="O226" s="2" t="n">
        <v>0</v>
      </c>
      <c r="P226" s="2" t="n">
        <v>0</v>
      </c>
      <c r="Q226" s="2"/>
      <c r="R226" s="2"/>
      <c r="S226" s="2" t="s">
        <v>499</v>
      </c>
    </row>
    <row r="227" customFormat="false" ht="15" hidden="false" customHeight="false" outlineLevel="0" collapsed="false">
      <c r="A227" s="2" t="s">
        <v>574</v>
      </c>
      <c r="B227" s="2" t="s">
        <v>575</v>
      </c>
      <c r="C227" s="5" t="n">
        <v>45125</v>
      </c>
      <c r="D227" s="6" t="n">
        <f aca="false">YEAR(C227)</f>
        <v>2023</v>
      </c>
      <c r="E227" s="7" t="n">
        <v>14.9482</v>
      </c>
      <c r="F227" s="7" t="n">
        <v>147.2003</v>
      </c>
      <c r="G227" s="3" t="n">
        <f aca="false">E227+F227</f>
        <v>162.1485</v>
      </c>
      <c r="H227" s="2" t="n">
        <v>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/>
      <c r="R227" s="2"/>
      <c r="S227" s="2" t="s">
        <v>499</v>
      </c>
    </row>
    <row r="228" customFormat="false" ht="15" hidden="false" customHeight="false" outlineLevel="0" collapsed="false">
      <c r="A228" s="2" t="s">
        <v>576</v>
      </c>
      <c r="B228" s="2" t="s">
        <v>577</v>
      </c>
      <c r="C228" s="5" t="n">
        <v>45174</v>
      </c>
      <c r="D228" s="6" t="n">
        <f aca="false">YEAR(C228)</f>
        <v>2023</v>
      </c>
      <c r="E228" s="7" t="n">
        <v>31.8953</v>
      </c>
      <c r="F228" s="7" t="n">
        <v>304.1137</v>
      </c>
      <c r="G228" s="3" t="n">
        <f aca="false">E228+F228</f>
        <v>336.009</v>
      </c>
      <c r="H228" s="2" t="n">
        <v>1</v>
      </c>
      <c r="I228" s="2" t="n">
        <v>0</v>
      </c>
      <c r="J228" s="2" t="n">
        <v>1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/>
      <c r="R228" s="2"/>
      <c r="S228" s="2" t="s">
        <v>499</v>
      </c>
    </row>
    <row r="229" customFormat="false" ht="15" hidden="false" customHeight="false" outlineLevel="0" collapsed="false">
      <c r="A229" s="2" t="s">
        <v>578</v>
      </c>
      <c r="B229" s="2" t="s">
        <v>579</v>
      </c>
      <c r="C229" s="5" t="n">
        <v>45194</v>
      </c>
      <c r="D229" s="6" t="n">
        <f aca="false">YEAR(C229)</f>
        <v>2023</v>
      </c>
      <c r="E229" s="7" t="n">
        <v>14.5641</v>
      </c>
      <c r="F229" s="7" t="n">
        <v>143.0603</v>
      </c>
      <c r="G229" s="3" t="n">
        <f aca="false">E229+F229</f>
        <v>157.6244</v>
      </c>
      <c r="H229" s="2" t="n">
        <v>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/>
      <c r="R229" s="2"/>
      <c r="S229" s="2" t="s">
        <v>499</v>
      </c>
    </row>
    <row r="230" customFormat="false" ht="15" hidden="false" customHeight="false" outlineLevel="0" collapsed="false">
      <c r="A230" s="2" t="s">
        <v>580</v>
      </c>
      <c r="B230" s="2" t="s">
        <v>581</v>
      </c>
      <c r="C230" s="5" t="n">
        <v>45194</v>
      </c>
      <c r="D230" s="6" t="n">
        <f aca="false">YEAR(C230)</f>
        <v>2023</v>
      </c>
      <c r="E230" s="7" t="n">
        <v>17.6032</v>
      </c>
      <c r="F230" s="7" t="n">
        <v>171.984</v>
      </c>
      <c r="G230" s="3" t="n">
        <f aca="false">E230+F230</f>
        <v>189.5872</v>
      </c>
      <c r="H230" s="2" t="n">
        <v>1</v>
      </c>
      <c r="I230" s="2" t="n">
        <v>0</v>
      </c>
      <c r="J230" s="2" t="n">
        <v>1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/>
      <c r="R230" s="2"/>
      <c r="S230" s="2" t="s">
        <v>499</v>
      </c>
    </row>
    <row r="231" customFormat="false" ht="15" hidden="false" customHeight="false" outlineLevel="0" collapsed="false">
      <c r="A231" s="2" t="s">
        <v>582</v>
      </c>
      <c r="B231" s="2" t="s">
        <v>583</v>
      </c>
      <c r="C231" s="5" t="n">
        <v>45195</v>
      </c>
      <c r="D231" s="6" t="n">
        <f aca="false">YEAR(C231)</f>
        <v>2023</v>
      </c>
      <c r="E231" s="7" t="n">
        <v>118.846</v>
      </c>
      <c r="F231" s="7" t="n">
        <v>1196.1964</v>
      </c>
      <c r="G231" s="3" t="n">
        <f aca="false">E231+F231</f>
        <v>1315.0424</v>
      </c>
      <c r="H231" s="2" t="n">
        <v>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/>
      <c r="R231" s="2"/>
      <c r="S231" s="2" t="s">
        <v>499</v>
      </c>
    </row>
    <row r="232" customFormat="false" ht="15" hidden="false" customHeight="false" outlineLevel="0" collapsed="false">
      <c r="A232" s="2" t="s">
        <v>584</v>
      </c>
      <c r="B232" s="2" t="s">
        <v>585</v>
      </c>
      <c r="C232" s="5" t="n">
        <v>45197</v>
      </c>
      <c r="D232" s="6" t="n">
        <f aca="false">YEAR(C232)</f>
        <v>2023</v>
      </c>
      <c r="E232" s="7" t="n">
        <v>102.2818</v>
      </c>
      <c r="F232" s="7" t="n">
        <v>1020.5158</v>
      </c>
      <c r="G232" s="3" t="n">
        <f aca="false">E232+F232</f>
        <v>1122.7976</v>
      </c>
      <c r="H232" s="2" t="n">
        <v>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/>
      <c r="R232" s="2"/>
      <c r="S232" s="2" t="s">
        <v>499</v>
      </c>
    </row>
    <row r="233" customFormat="false" ht="15" hidden="false" customHeight="false" outlineLevel="0" collapsed="false">
      <c r="A233" s="2" t="s">
        <v>586</v>
      </c>
      <c r="B233" s="2" t="s">
        <v>587</v>
      </c>
      <c r="C233" s="5" t="n">
        <v>45197</v>
      </c>
      <c r="D233" s="6" t="n">
        <f aca="false">YEAR(C233)</f>
        <v>2023</v>
      </c>
      <c r="E233" s="7" t="n">
        <v>57.0986</v>
      </c>
      <c r="F233" s="7" t="n">
        <v>579.8156</v>
      </c>
      <c r="G233" s="3" t="n">
        <f aca="false">E233+F233</f>
        <v>636.9142</v>
      </c>
      <c r="H233" s="2" t="n">
        <v>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/>
      <c r="R233" s="2"/>
      <c r="S233" s="2" t="s">
        <v>499</v>
      </c>
    </row>
    <row r="234" customFormat="false" ht="15" hidden="false" customHeight="false" outlineLevel="0" collapsed="false">
      <c r="A234" s="2" t="s">
        <v>588</v>
      </c>
      <c r="B234" s="2" t="s">
        <v>589</v>
      </c>
      <c r="C234" s="5" t="n">
        <v>45197</v>
      </c>
      <c r="D234" s="6" t="n">
        <f aca="false">YEAR(C234)</f>
        <v>2023</v>
      </c>
      <c r="E234" s="7" t="n">
        <v>132.832</v>
      </c>
      <c r="F234" s="7" t="n">
        <v>132.832</v>
      </c>
      <c r="G234" s="3" t="n">
        <f aca="false">E234+F234</f>
        <v>265.664</v>
      </c>
      <c r="H234" s="2" t="n">
        <v>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/>
      <c r="R234" s="2"/>
      <c r="S234" s="2" t="s">
        <v>499</v>
      </c>
    </row>
    <row r="235" customFormat="false" ht="15" hidden="false" customHeight="false" outlineLevel="0" collapsed="false">
      <c r="A235" s="2" t="s">
        <v>590</v>
      </c>
      <c r="B235" s="2" t="s">
        <v>591</v>
      </c>
      <c r="C235" s="5" t="n">
        <v>45198</v>
      </c>
      <c r="D235" s="6" t="n">
        <f aca="false">YEAR(C235)</f>
        <v>2023</v>
      </c>
      <c r="E235" s="7" t="n">
        <v>0</v>
      </c>
      <c r="F235" s="7" t="n">
        <v>0</v>
      </c>
      <c r="G235" s="3" t="n">
        <f aca="false">E235+F235</f>
        <v>0</v>
      </c>
      <c r="H235" s="2" t="n">
        <v>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/>
      <c r="R235" s="2"/>
      <c r="S235" s="2" t="s">
        <v>499</v>
      </c>
    </row>
    <row r="236" customFormat="false" ht="15" hidden="false" customHeight="false" outlineLevel="0" collapsed="false">
      <c r="A236" s="2" t="s">
        <v>592</v>
      </c>
      <c r="B236" s="2" t="s">
        <v>593</v>
      </c>
      <c r="C236" s="5" t="n">
        <v>45205</v>
      </c>
      <c r="D236" s="6" t="n">
        <f aca="false">YEAR(C236)</f>
        <v>2023</v>
      </c>
      <c r="E236" s="7" t="n">
        <v>29.5724</v>
      </c>
      <c r="F236" s="7" t="n">
        <v>1096.6046</v>
      </c>
      <c r="G236" s="3" t="n">
        <f aca="false">E236+F236</f>
        <v>1126.177</v>
      </c>
      <c r="H236" s="2" t="n">
        <v>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/>
      <c r="R236" s="2"/>
      <c r="S236" s="2" t="s">
        <v>499</v>
      </c>
    </row>
    <row r="237" customFormat="false" ht="15" hidden="false" customHeight="false" outlineLevel="0" collapsed="false">
      <c r="A237" s="2" t="s">
        <v>594</v>
      </c>
      <c r="B237" s="2" t="s">
        <v>595</v>
      </c>
      <c r="C237" s="5" t="n">
        <v>45210</v>
      </c>
      <c r="D237" s="6" t="n">
        <f aca="false">YEAR(C237)</f>
        <v>2023</v>
      </c>
      <c r="E237" s="7" t="n">
        <v>14.75</v>
      </c>
      <c r="F237" s="7" t="n">
        <v>132.75</v>
      </c>
      <c r="G237" s="3" t="n">
        <f aca="false">E237+F237</f>
        <v>147.5</v>
      </c>
      <c r="H237" s="2" t="n">
        <v>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/>
      <c r="R237" s="2"/>
      <c r="S237" s="2" t="s">
        <v>499</v>
      </c>
    </row>
    <row r="238" customFormat="false" ht="15" hidden="false" customHeight="false" outlineLevel="0" collapsed="false">
      <c r="A238" s="2" t="s">
        <v>596</v>
      </c>
      <c r="B238" s="2" t="s">
        <v>597</v>
      </c>
      <c r="C238" s="5" t="n">
        <v>45211</v>
      </c>
      <c r="D238" s="6" t="n">
        <f aca="false">YEAR(C238)</f>
        <v>2023</v>
      </c>
      <c r="E238" s="7" t="n">
        <v>78.6158</v>
      </c>
      <c r="F238" s="7" t="n">
        <v>707.52</v>
      </c>
      <c r="G238" s="3" t="n">
        <f aca="false">E238+F238</f>
        <v>786.1358</v>
      </c>
      <c r="H238" s="2" t="n">
        <v>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/>
      <c r="R238" s="2"/>
      <c r="S238" s="2" t="s">
        <v>499</v>
      </c>
    </row>
    <row r="239" customFormat="false" ht="15" hidden="false" customHeight="false" outlineLevel="0" collapsed="false">
      <c r="A239" s="2" t="s">
        <v>598</v>
      </c>
      <c r="B239" s="2" t="s">
        <v>599</v>
      </c>
      <c r="C239" s="5" t="n">
        <v>45211</v>
      </c>
      <c r="D239" s="6" t="n">
        <f aca="false">YEAR(C239)</f>
        <v>2023</v>
      </c>
      <c r="E239" s="7" t="n">
        <v>82.0408</v>
      </c>
      <c r="F239" s="7" t="n">
        <v>738.2984</v>
      </c>
      <c r="G239" s="3" t="n">
        <f aca="false">E239+F239</f>
        <v>820.3392</v>
      </c>
      <c r="H239" s="2" t="n">
        <v>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/>
      <c r="R239" s="2"/>
      <c r="S239" s="2" t="s">
        <v>499</v>
      </c>
    </row>
    <row r="240" customFormat="false" ht="15" hidden="false" customHeight="false" outlineLevel="0" collapsed="false">
      <c r="A240" s="2" t="s">
        <v>600</v>
      </c>
      <c r="B240" s="2" t="s">
        <v>601</v>
      </c>
      <c r="C240" s="5" t="n">
        <v>45226</v>
      </c>
      <c r="D240" s="6" t="n">
        <f aca="false">YEAR(C240)</f>
        <v>2023</v>
      </c>
      <c r="E240" s="7" t="n">
        <v>391.8624</v>
      </c>
      <c r="F240" s="7" t="n">
        <v>3526.7424</v>
      </c>
      <c r="G240" s="3" t="n">
        <f aca="false">E240+F240</f>
        <v>3918.6048</v>
      </c>
      <c r="H240" s="2" t="n">
        <v>0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/>
      <c r="R240" s="2"/>
      <c r="S240" s="2" t="s">
        <v>499</v>
      </c>
    </row>
    <row r="241" customFormat="false" ht="15" hidden="false" customHeight="false" outlineLevel="0" collapsed="false">
      <c r="A241" s="2" t="s">
        <v>602</v>
      </c>
      <c r="B241" s="2" t="s">
        <v>603</v>
      </c>
      <c r="C241" s="5" t="n">
        <v>45232</v>
      </c>
      <c r="D241" s="6" t="n">
        <f aca="false">YEAR(C241)</f>
        <v>2023</v>
      </c>
      <c r="E241" s="7" t="n">
        <v>41.1472</v>
      </c>
      <c r="F241" s="7" t="n">
        <v>421.468</v>
      </c>
      <c r="G241" s="3" t="n">
        <f aca="false">E241+F241</f>
        <v>462.6152</v>
      </c>
      <c r="H241" s="2" t="n">
        <v>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/>
      <c r="R241" s="2"/>
      <c r="S241" s="2" t="s">
        <v>499</v>
      </c>
    </row>
    <row r="242" customFormat="false" ht="15" hidden="false" customHeight="false" outlineLevel="0" collapsed="false">
      <c r="A242" s="2" t="s">
        <v>604</v>
      </c>
      <c r="B242" s="2" t="s">
        <v>605</v>
      </c>
      <c r="C242" s="5" t="n">
        <v>45233</v>
      </c>
      <c r="D242" s="6" t="n">
        <f aca="false">YEAR(C242)</f>
        <v>2023</v>
      </c>
      <c r="E242" s="7" t="n">
        <v>23.3703</v>
      </c>
      <c r="F242" s="7" t="n">
        <v>210.2965</v>
      </c>
      <c r="G242" s="3" t="n">
        <f aca="false">E242+F242</f>
        <v>233.6668</v>
      </c>
      <c r="H242" s="2" t="n">
        <v>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/>
      <c r="R242" s="2"/>
      <c r="S242" s="2" t="s">
        <v>499</v>
      </c>
    </row>
    <row r="243" customFormat="false" ht="15" hidden="false" customHeight="false" outlineLevel="0" collapsed="false">
      <c r="A243" s="2" t="s">
        <v>606</v>
      </c>
      <c r="B243" s="2" t="s">
        <v>607</v>
      </c>
      <c r="C243" s="5" t="n">
        <v>45239</v>
      </c>
      <c r="D243" s="6" t="n">
        <f aca="false">YEAR(C243)</f>
        <v>2023</v>
      </c>
      <c r="E243" s="7" t="n">
        <v>11.3438</v>
      </c>
      <c r="F243" s="7" t="n">
        <v>102.0938</v>
      </c>
      <c r="G243" s="3" t="n">
        <f aca="false">E243+F243</f>
        <v>113.4376</v>
      </c>
      <c r="H243" s="2" t="n">
        <v>0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/>
      <c r="R243" s="2"/>
      <c r="S243" s="2" t="s">
        <v>499</v>
      </c>
    </row>
    <row r="244" customFormat="false" ht="15" hidden="false" customHeight="false" outlineLevel="0" collapsed="false">
      <c r="A244" s="2" t="s">
        <v>608</v>
      </c>
      <c r="B244" s="2" t="s">
        <v>609</v>
      </c>
      <c r="C244" s="5" t="n">
        <v>45240</v>
      </c>
      <c r="D244" s="6" t="n">
        <f aca="false">YEAR(C244)</f>
        <v>2023</v>
      </c>
      <c r="E244" s="7" t="n">
        <v>17.3302</v>
      </c>
      <c r="F244" s="7" t="n">
        <v>155.9719</v>
      </c>
      <c r="G244" s="3" t="n">
        <f aca="false">E244+F244</f>
        <v>173.3021</v>
      </c>
      <c r="H244" s="2" t="n">
        <v>0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/>
      <c r="R244" s="2"/>
      <c r="S244" s="2" t="s">
        <v>499</v>
      </c>
    </row>
    <row r="245" customFormat="false" ht="15" hidden="false" customHeight="false" outlineLevel="0" collapsed="false">
      <c r="A245" s="2" t="s">
        <v>610</v>
      </c>
      <c r="B245" s="2" t="s">
        <v>611</v>
      </c>
      <c r="C245" s="5" t="n">
        <v>45240</v>
      </c>
      <c r="D245" s="6" t="n">
        <f aca="false">YEAR(C245)</f>
        <v>2023</v>
      </c>
      <c r="E245" s="7" t="n">
        <v>13</v>
      </c>
      <c r="F245" s="7" t="n">
        <v>117</v>
      </c>
      <c r="G245" s="3" t="n">
        <f aca="false">E245+F245</f>
        <v>130</v>
      </c>
      <c r="H245" s="2" t="n">
        <v>0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/>
      <c r="R245" s="2"/>
      <c r="S245" s="2" t="s">
        <v>499</v>
      </c>
    </row>
    <row r="246" customFormat="false" ht="15" hidden="false" customHeight="false" outlineLevel="0" collapsed="false">
      <c r="A246" s="2" t="s">
        <v>612</v>
      </c>
      <c r="B246" s="2" t="s">
        <v>613</v>
      </c>
      <c r="C246" s="5" t="n">
        <v>45247</v>
      </c>
      <c r="D246" s="6" t="n">
        <f aca="false">YEAR(C246)</f>
        <v>2023</v>
      </c>
      <c r="E246" s="7" t="n">
        <v>1102.8004</v>
      </c>
      <c r="F246" s="7" t="n">
        <v>2967.8523</v>
      </c>
      <c r="G246" s="3" t="n">
        <f aca="false">E246+F246</f>
        <v>4070.6527</v>
      </c>
      <c r="H246" s="2" t="n">
        <v>0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/>
      <c r="R246" s="2"/>
      <c r="S246" s="2" t="s">
        <v>499</v>
      </c>
    </row>
    <row r="247" customFormat="false" ht="15" hidden="false" customHeight="false" outlineLevel="0" collapsed="false">
      <c r="A247" s="2" t="s">
        <v>614</v>
      </c>
      <c r="B247" s="2" t="s">
        <v>615</v>
      </c>
      <c r="C247" s="5" t="n">
        <v>45252</v>
      </c>
      <c r="D247" s="6" t="n">
        <f aca="false">YEAR(C247)</f>
        <v>2023</v>
      </c>
      <c r="E247" s="7" t="n">
        <v>43.7003</v>
      </c>
      <c r="F247" s="7" t="n">
        <v>770.4992</v>
      </c>
      <c r="G247" s="3" t="n">
        <f aca="false">E247+F247</f>
        <v>814.1995</v>
      </c>
      <c r="H247" s="2" t="n">
        <v>0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/>
      <c r="R247" s="2"/>
      <c r="S247" s="2" t="s">
        <v>499</v>
      </c>
    </row>
    <row r="248" customFormat="false" ht="15" hidden="false" customHeight="false" outlineLevel="0" collapsed="false">
      <c r="A248" s="2" t="s">
        <v>616</v>
      </c>
      <c r="B248" s="2" t="s">
        <v>617</v>
      </c>
      <c r="C248" s="5" t="n">
        <v>45265</v>
      </c>
      <c r="D248" s="6" t="n">
        <f aca="false">YEAR(C248)</f>
        <v>2023</v>
      </c>
      <c r="E248" s="7" t="n">
        <v>67.5</v>
      </c>
      <c r="F248" s="7" t="n">
        <v>157.5</v>
      </c>
      <c r="G248" s="3" t="n">
        <f aca="false">E248+F248</f>
        <v>225</v>
      </c>
      <c r="H248" s="2" t="n">
        <v>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/>
      <c r="R248" s="2"/>
      <c r="S248" s="2" t="s">
        <v>499</v>
      </c>
    </row>
    <row r="249" customFormat="false" ht="15" hidden="false" customHeight="false" outlineLevel="0" collapsed="false">
      <c r="A249" s="2" t="s">
        <v>618</v>
      </c>
      <c r="B249" s="2" t="s">
        <v>619</v>
      </c>
      <c r="C249" s="5" t="n">
        <v>45265</v>
      </c>
      <c r="D249" s="6" t="n">
        <f aca="false">YEAR(C249)</f>
        <v>2023</v>
      </c>
      <c r="E249" s="7" t="n">
        <v>39.78</v>
      </c>
      <c r="F249" s="7" t="n">
        <v>92.82</v>
      </c>
      <c r="G249" s="3" t="n">
        <f aca="false">E249+F249</f>
        <v>132.6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/>
      <c r="R249" s="2"/>
      <c r="S249" s="2" t="s">
        <v>499</v>
      </c>
    </row>
    <row r="250" customFormat="false" ht="15" hidden="false" customHeight="false" outlineLevel="0" collapsed="false">
      <c r="A250" s="2" t="s">
        <v>620</v>
      </c>
      <c r="B250" s="2" t="s">
        <v>621</v>
      </c>
      <c r="C250" s="5" t="n">
        <v>45265</v>
      </c>
      <c r="D250" s="6" t="n">
        <f aca="false">YEAR(C250)</f>
        <v>2023</v>
      </c>
      <c r="E250" s="7" t="n">
        <v>156.3363</v>
      </c>
      <c r="F250" s="7" t="n">
        <v>1407.0269</v>
      </c>
      <c r="G250" s="3" t="n">
        <f aca="false">E250+F250</f>
        <v>1563.3632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1</v>
      </c>
      <c r="N250" s="2" t="n">
        <v>0</v>
      </c>
      <c r="O250" s="2" t="n">
        <v>0</v>
      </c>
      <c r="P250" s="2" t="n">
        <v>0</v>
      </c>
      <c r="Q250" s="2"/>
      <c r="R250" s="2"/>
      <c r="S250" s="2" t="s">
        <v>499</v>
      </c>
    </row>
    <row r="251" customFormat="false" ht="15" hidden="false" customHeight="false" outlineLevel="0" collapsed="false">
      <c r="A251" s="2" t="s">
        <v>622</v>
      </c>
      <c r="B251" s="2" t="s">
        <v>623</v>
      </c>
      <c r="C251" s="5" t="n">
        <v>45266</v>
      </c>
      <c r="D251" s="6" t="n">
        <f aca="false">YEAR(C251)</f>
        <v>2023</v>
      </c>
      <c r="E251" s="7" t="n">
        <v>99.4398</v>
      </c>
      <c r="F251" s="7" t="n">
        <v>894.9586</v>
      </c>
      <c r="G251" s="3" t="n">
        <f aca="false">E251+F251</f>
        <v>994.3984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/>
      <c r="R251" s="2"/>
      <c r="S251" s="2" t="s">
        <v>499</v>
      </c>
    </row>
    <row r="252" customFormat="false" ht="15" hidden="false" customHeight="false" outlineLevel="0" collapsed="false">
      <c r="A252" s="2" t="s">
        <v>624</v>
      </c>
      <c r="B252" s="2" t="s">
        <v>625</v>
      </c>
      <c r="C252" s="5" t="n">
        <v>45272</v>
      </c>
      <c r="D252" s="6" t="n">
        <f aca="false">YEAR(C252)</f>
        <v>2023</v>
      </c>
      <c r="E252" s="7" t="n">
        <v>124.16</v>
      </c>
      <c r="F252" s="7" t="n">
        <v>186.24</v>
      </c>
      <c r="G252" s="3" t="n">
        <f aca="false">E252+F252</f>
        <v>310.4</v>
      </c>
      <c r="H252" s="2" t="n">
        <v>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/>
      <c r="R252" s="2"/>
      <c r="S252" s="2" t="s">
        <v>499</v>
      </c>
    </row>
    <row r="253" customFormat="false" ht="15" hidden="false" customHeight="false" outlineLevel="0" collapsed="false">
      <c r="A253" s="2" t="s">
        <v>626</v>
      </c>
      <c r="B253" s="2" t="s">
        <v>627</v>
      </c>
      <c r="C253" s="5" t="n">
        <v>45278</v>
      </c>
      <c r="D253" s="6" t="n">
        <f aca="false">YEAR(C253)</f>
        <v>2023</v>
      </c>
      <c r="E253" s="7" t="n">
        <v>212.4118</v>
      </c>
      <c r="F253" s="7" t="n">
        <v>1911.6729</v>
      </c>
      <c r="G253" s="3" t="n">
        <f aca="false">E253+F253</f>
        <v>2124.0847</v>
      </c>
      <c r="H253" s="2" t="n">
        <v>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1</v>
      </c>
      <c r="N253" s="2" t="n">
        <v>0</v>
      </c>
      <c r="O253" s="2" t="n">
        <v>0</v>
      </c>
      <c r="P253" s="2" t="n">
        <v>0</v>
      </c>
      <c r="Q253" s="2"/>
      <c r="R253" s="2"/>
      <c r="S253" s="2" t="s">
        <v>499</v>
      </c>
    </row>
    <row r="254" customFormat="false" ht="15" hidden="false" customHeight="false" outlineLevel="0" collapsed="false">
      <c r="A254" s="2" t="s">
        <v>628</v>
      </c>
      <c r="B254" s="2" t="s">
        <v>629</v>
      </c>
      <c r="C254" s="5" t="n">
        <v>45280</v>
      </c>
      <c r="D254" s="6" t="n">
        <f aca="false">YEAR(C254)</f>
        <v>2023</v>
      </c>
      <c r="E254" s="7" t="n">
        <v>86.0088</v>
      </c>
      <c r="F254" s="7" t="n">
        <v>200.6832</v>
      </c>
      <c r="G254" s="3" t="n">
        <f aca="false">E254+F254</f>
        <v>286.692</v>
      </c>
      <c r="H254" s="2" t="n">
        <v>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/>
      <c r="R254" s="2"/>
      <c r="S254" s="2" t="s">
        <v>499</v>
      </c>
    </row>
    <row r="255" customFormat="false" ht="15" hidden="false" customHeight="false" outlineLevel="0" collapsed="false">
      <c r="A255" s="2" t="s">
        <v>630</v>
      </c>
      <c r="B255" s="2" t="s">
        <v>631</v>
      </c>
      <c r="C255" s="5" t="n">
        <v>45280</v>
      </c>
      <c r="D255" s="6" t="n">
        <f aca="false">YEAR(C255)</f>
        <v>2023</v>
      </c>
      <c r="E255" s="7" t="n">
        <v>65.5739</v>
      </c>
      <c r="F255" s="7" t="n">
        <v>590.1655</v>
      </c>
      <c r="G255" s="3" t="n">
        <f aca="false">E255+F255</f>
        <v>655.7394</v>
      </c>
      <c r="H255" s="2" t="n">
        <v>0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/>
      <c r="R255" s="2"/>
      <c r="S255" s="2" t="s">
        <v>499</v>
      </c>
    </row>
    <row r="256" customFormat="false" ht="15" hidden="false" customHeight="false" outlineLevel="0" collapsed="false">
      <c r="A256" s="2" t="s">
        <v>632</v>
      </c>
      <c r="B256" s="2" t="s">
        <v>633</v>
      </c>
      <c r="C256" s="5" t="n">
        <v>45282</v>
      </c>
      <c r="D256" s="6" t="n">
        <f aca="false">YEAR(C256)</f>
        <v>2023</v>
      </c>
      <c r="E256" s="7" t="n">
        <v>12.6</v>
      </c>
      <c r="F256" s="7" t="n">
        <v>113.4</v>
      </c>
      <c r="G256" s="3" t="n">
        <f aca="false">E256+F256</f>
        <v>126</v>
      </c>
      <c r="H256" s="2" t="n">
        <v>0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/>
      <c r="R256" s="2"/>
      <c r="S256" s="2" t="s">
        <v>499</v>
      </c>
    </row>
    <row r="257" customFormat="false" ht="15" hidden="false" customHeight="false" outlineLevel="0" collapsed="false">
      <c r="A257" s="2" t="s">
        <v>634</v>
      </c>
      <c r="B257" s="2" t="s">
        <v>635</v>
      </c>
      <c r="C257" s="5" t="n">
        <v>45282</v>
      </c>
      <c r="D257" s="6" t="n">
        <f aca="false">YEAR(C257)</f>
        <v>2023</v>
      </c>
      <c r="E257" s="7" t="n">
        <v>83.4728</v>
      </c>
      <c r="F257" s="7" t="n">
        <v>194.7583</v>
      </c>
      <c r="G257" s="3" t="n">
        <f aca="false">E257+F257</f>
        <v>278.2311</v>
      </c>
      <c r="H257" s="2" t="n">
        <v>1</v>
      </c>
      <c r="I257" s="2" t="n">
        <v>0</v>
      </c>
      <c r="J257" s="2" t="n">
        <v>1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/>
      <c r="R257" s="2"/>
      <c r="S257" s="2" t="s">
        <v>499</v>
      </c>
    </row>
    <row r="258" customFormat="false" ht="15" hidden="false" customHeight="false" outlineLevel="0" collapsed="false">
      <c r="A258" s="2" t="s">
        <v>636</v>
      </c>
      <c r="B258" s="2" t="s">
        <v>637</v>
      </c>
      <c r="C258" s="5" t="n">
        <v>45282</v>
      </c>
      <c r="D258" s="6" t="n">
        <f aca="false">YEAR(C258)</f>
        <v>2023</v>
      </c>
      <c r="E258" s="7" t="n">
        <v>27.5</v>
      </c>
      <c r="F258" s="7" t="n">
        <v>247.5</v>
      </c>
      <c r="G258" s="3" t="n">
        <f aca="false">E258+F258</f>
        <v>275</v>
      </c>
      <c r="H258" s="2" t="n">
        <v>0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/>
      <c r="R258" s="2"/>
      <c r="S258" s="2" t="s">
        <v>499</v>
      </c>
    </row>
    <row r="259" customFormat="false" ht="15" hidden="false" customHeight="false" outlineLevel="0" collapsed="false">
      <c r="A259" s="2" t="s">
        <v>638</v>
      </c>
      <c r="B259" s="2" t="s">
        <v>639</v>
      </c>
      <c r="C259" s="5" t="n">
        <v>45282</v>
      </c>
      <c r="D259" s="6" t="n">
        <f aca="false">YEAR(C259)</f>
        <v>2023</v>
      </c>
      <c r="E259" s="7" t="n">
        <v>22.47</v>
      </c>
      <c r="F259" s="7" t="n">
        <v>202.23</v>
      </c>
      <c r="G259" s="3" t="n">
        <f aca="false">E259+F259</f>
        <v>224.7</v>
      </c>
      <c r="H259" s="2" t="n">
        <v>0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/>
      <c r="R259" s="2"/>
      <c r="S259" s="2" t="s">
        <v>499</v>
      </c>
    </row>
    <row r="260" customFormat="false" ht="15" hidden="false" customHeight="false" outlineLevel="0" collapsed="false">
      <c r="A260" s="2" t="s">
        <v>640</v>
      </c>
      <c r="B260" s="2" t="s">
        <v>641</v>
      </c>
      <c r="C260" s="5" t="n">
        <v>45288</v>
      </c>
      <c r="D260" s="6" t="n">
        <f aca="false">YEAR(C260)</f>
        <v>2023</v>
      </c>
      <c r="E260" s="7" t="n">
        <v>41.205</v>
      </c>
      <c r="F260" s="7" t="n">
        <v>370.845</v>
      </c>
      <c r="G260" s="3" t="n">
        <f aca="false">E260+F260</f>
        <v>412.05</v>
      </c>
      <c r="H260" s="2" t="n">
        <v>0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/>
      <c r="R260" s="2"/>
      <c r="S260" s="2" t="s">
        <v>499</v>
      </c>
    </row>
    <row r="261" customFormat="false" ht="15" hidden="false" customHeight="false" outlineLevel="0" collapsed="false">
      <c r="A261" s="2" t="s">
        <v>642</v>
      </c>
      <c r="B261" s="2" t="s">
        <v>643</v>
      </c>
      <c r="C261" s="5" t="n">
        <v>45289</v>
      </c>
      <c r="D261" s="6" t="n">
        <f aca="false">YEAR(C261)</f>
        <v>2023</v>
      </c>
      <c r="E261" s="7" t="n">
        <v>101.538</v>
      </c>
      <c r="F261" s="7" t="n">
        <v>940.1355</v>
      </c>
      <c r="G261" s="3" t="n">
        <f aca="false">E261+F261</f>
        <v>1041.6735</v>
      </c>
      <c r="H261" s="2" t="n">
        <v>0</v>
      </c>
      <c r="I261" s="2" t="n">
        <v>0</v>
      </c>
      <c r="J261" s="2" t="n">
        <v>0</v>
      </c>
      <c r="K261" s="2" t="n">
        <v>1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/>
      <c r="R261" s="2"/>
      <c r="S261" s="2" t="s">
        <v>499</v>
      </c>
    </row>
    <row r="262" customFormat="false" ht="15" hidden="false" customHeight="false" outlineLevel="0" collapsed="false">
      <c r="A262" s="2" t="s">
        <v>644</v>
      </c>
      <c r="B262" s="2" t="s">
        <v>645</v>
      </c>
      <c r="C262" s="5" t="n">
        <v>45296</v>
      </c>
      <c r="D262" s="6" t="n">
        <f aca="false">YEAR(C262)</f>
        <v>2024</v>
      </c>
      <c r="E262" s="7" t="n">
        <v>57.577</v>
      </c>
      <c r="F262" s="7" t="n">
        <v>1001.8355</v>
      </c>
      <c r="G262" s="3" t="n">
        <f aca="false">E262+F262</f>
        <v>1059.4125</v>
      </c>
      <c r="H262" s="2" t="n">
        <v>0</v>
      </c>
      <c r="I262" s="2" t="n">
        <v>0</v>
      </c>
      <c r="J262" s="2" t="n">
        <v>0</v>
      </c>
      <c r="K262" s="2" t="n">
        <v>1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/>
      <c r="R262" s="2"/>
      <c r="S262" s="2" t="s">
        <v>646</v>
      </c>
    </row>
    <row r="263" customFormat="false" ht="15" hidden="false" customHeight="false" outlineLevel="0" collapsed="false">
      <c r="A263" s="2" t="s">
        <v>647</v>
      </c>
      <c r="B263" s="2" t="s">
        <v>648</v>
      </c>
      <c r="C263" s="5" t="n">
        <v>45300</v>
      </c>
      <c r="D263" s="6" t="n">
        <f aca="false">YEAR(C263)</f>
        <v>2024</v>
      </c>
      <c r="E263" s="7" t="n">
        <v>30.0713</v>
      </c>
      <c r="F263" s="7" t="n">
        <v>270.6417</v>
      </c>
      <c r="G263" s="3" t="n">
        <f aca="false">E263+F263</f>
        <v>300.713</v>
      </c>
      <c r="H263" s="2" t="n">
        <v>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/>
      <c r="R263" s="2"/>
      <c r="S263" s="2" t="s">
        <v>646</v>
      </c>
    </row>
    <row r="264" customFormat="false" ht="15" hidden="false" customHeight="false" outlineLevel="0" collapsed="false">
      <c r="A264" s="2" t="s">
        <v>649</v>
      </c>
      <c r="B264" s="2" t="s">
        <v>650</v>
      </c>
      <c r="C264" s="5" t="n">
        <v>45300</v>
      </c>
      <c r="D264" s="6" t="n">
        <f aca="false">YEAR(C264)</f>
        <v>2024</v>
      </c>
      <c r="E264" s="7" t="n">
        <v>56.2946</v>
      </c>
      <c r="F264" s="7" t="n">
        <v>506.6258</v>
      </c>
      <c r="G264" s="3" t="n">
        <f aca="false">E264+F264</f>
        <v>562.9204</v>
      </c>
      <c r="H264" s="2" t="n">
        <v>0</v>
      </c>
      <c r="I264" s="2" t="n">
        <v>0</v>
      </c>
      <c r="J264" s="2" t="n">
        <v>1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/>
      <c r="R264" s="2"/>
      <c r="S264" s="2" t="s">
        <v>646</v>
      </c>
    </row>
    <row r="265" customFormat="false" ht="15" hidden="false" customHeight="false" outlineLevel="0" collapsed="false">
      <c r="A265" s="2" t="s">
        <v>651</v>
      </c>
      <c r="B265" s="2" t="s">
        <v>652</v>
      </c>
      <c r="C265" s="5" t="n">
        <v>45300</v>
      </c>
      <c r="D265" s="6" t="n">
        <f aca="false">YEAR(C265)</f>
        <v>2024</v>
      </c>
      <c r="E265" s="7" t="n">
        <v>51.48</v>
      </c>
      <c r="F265" s="7" t="n">
        <v>77.22</v>
      </c>
      <c r="G265" s="3" t="n">
        <f aca="false">E265+F265</f>
        <v>128.7</v>
      </c>
      <c r="H265" s="2" t="n">
        <v>0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/>
      <c r="R265" s="2"/>
      <c r="S265" s="2" t="s">
        <v>646</v>
      </c>
    </row>
    <row r="266" customFormat="false" ht="15" hidden="false" customHeight="false" outlineLevel="0" collapsed="false">
      <c r="A266" s="2" t="s">
        <v>653</v>
      </c>
      <c r="B266" s="2" t="s">
        <v>654</v>
      </c>
      <c r="C266" s="5" t="n">
        <v>45303</v>
      </c>
      <c r="D266" s="6" t="n">
        <f aca="false">YEAR(C266)</f>
        <v>2024</v>
      </c>
      <c r="E266" s="7" t="n">
        <v>25</v>
      </c>
      <c r="F266" s="7" t="n">
        <v>100</v>
      </c>
      <c r="G266" s="3" t="n">
        <f aca="false">E266+F266</f>
        <v>125</v>
      </c>
      <c r="H266" s="2" t="n">
        <v>0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/>
      <c r="R266" s="2"/>
      <c r="S266" s="2" t="s">
        <v>646</v>
      </c>
    </row>
    <row r="267" customFormat="false" ht="15" hidden="false" customHeight="false" outlineLevel="0" collapsed="false">
      <c r="A267" s="2" t="s">
        <v>655</v>
      </c>
      <c r="B267" s="2" t="s">
        <v>656</v>
      </c>
      <c r="C267" s="5" t="n">
        <v>45359</v>
      </c>
      <c r="D267" s="6" t="n">
        <f aca="false">YEAR(C267)</f>
        <v>2024</v>
      </c>
      <c r="E267" s="7" t="n">
        <v>41.25</v>
      </c>
      <c r="F267" s="7" t="n">
        <v>96.25</v>
      </c>
      <c r="G267" s="3" t="n">
        <f aca="false">E267+F267</f>
        <v>137.5</v>
      </c>
      <c r="H267" s="2" t="n">
        <v>0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/>
      <c r="R267" s="2"/>
      <c r="S267" s="2" t="s">
        <v>646</v>
      </c>
    </row>
    <row r="268" customFormat="false" ht="15" hidden="false" customHeight="false" outlineLevel="0" collapsed="false">
      <c r="A268" s="2" t="s">
        <v>657</v>
      </c>
      <c r="B268" s="2" t="s">
        <v>658</v>
      </c>
      <c r="C268" s="5" t="n">
        <v>45359</v>
      </c>
      <c r="D268" s="6" t="n">
        <f aca="false">YEAR(C268)</f>
        <v>2024</v>
      </c>
      <c r="E268" s="7" t="n">
        <v>25</v>
      </c>
      <c r="F268" s="7" t="n">
        <v>100</v>
      </c>
      <c r="G268" s="3" t="n">
        <f aca="false">E268+F268</f>
        <v>125</v>
      </c>
      <c r="H268" s="2" t="n">
        <v>0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/>
      <c r="R268" s="2"/>
      <c r="S268" s="2" t="s">
        <v>646</v>
      </c>
    </row>
    <row r="269" customFormat="false" ht="15" hidden="false" customHeight="false" outlineLevel="0" collapsed="false">
      <c r="A269" s="2" t="s">
        <v>659</v>
      </c>
      <c r="B269" s="2" t="s">
        <v>660</v>
      </c>
      <c r="C269" s="5" t="n">
        <v>45371</v>
      </c>
      <c r="D269" s="6" t="n">
        <f aca="false">YEAR(C269)</f>
        <v>2024</v>
      </c>
      <c r="E269" s="7" t="n">
        <v>42.3878</v>
      </c>
      <c r="F269" s="7" t="n">
        <v>196.1309</v>
      </c>
      <c r="G269" s="3" t="n">
        <f aca="false">E269+F269</f>
        <v>238.5187</v>
      </c>
      <c r="H269" s="2" t="n">
        <v>1</v>
      </c>
      <c r="I269" s="2" t="n">
        <v>0</v>
      </c>
      <c r="J269" s="2" t="n">
        <v>1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/>
      <c r="R269" s="2"/>
      <c r="S269" s="2" t="s">
        <v>646</v>
      </c>
    </row>
    <row r="270" customFormat="false" ht="15" hidden="false" customHeight="false" outlineLevel="0" collapsed="false">
      <c r="A270" s="2" t="s">
        <v>661</v>
      </c>
      <c r="B270" s="2" t="s">
        <v>662</v>
      </c>
      <c r="C270" s="5" t="n">
        <v>45372</v>
      </c>
      <c r="D270" s="6" t="n">
        <f aca="false">YEAR(C270)</f>
        <v>2024</v>
      </c>
      <c r="E270" s="7" t="n">
        <v>91.8</v>
      </c>
      <c r="F270" s="7" t="n">
        <v>862.6752</v>
      </c>
      <c r="G270" s="3" t="n">
        <f aca="false">E270+F270</f>
        <v>954.4752</v>
      </c>
      <c r="H270" s="2" t="n">
        <v>0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/>
      <c r="R270" s="2"/>
      <c r="S270" s="2" t="s">
        <v>646</v>
      </c>
    </row>
    <row r="271" customFormat="false" ht="15" hidden="false" customHeight="false" outlineLevel="0" collapsed="false">
      <c r="A271" s="2" t="s">
        <v>663</v>
      </c>
      <c r="B271" s="2" t="s">
        <v>664</v>
      </c>
      <c r="C271" s="5" t="n">
        <v>45377</v>
      </c>
      <c r="D271" s="6" t="n">
        <f aca="false">YEAR(C271)</f>
        <v>2024</v>
      </c>
      <c r="E271" s="7" t="n">
        <v>111.4308</v>
      </c>
      <c r="F271" s="7" t="n">
        <v>288.5714</v>
      </c>
      <c r="G271" s="3" t="n">
        <f aca="false">E271+F271</f>
        <v>400.0022</v>
      </c>
      <c r="H271" s="2" t="n">
        <v>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/>
      <c r="R271" s="2"/>
      <c r="S271" s="2" t="s">
        <v>646</v>
      </c>
    </row>
    <row r="272" customFormat="false" ht="15" hidden="false" customHeight="false" outlineLevel="0" collapsed="false">
      <c r="A272" s="2" t="s">
        <v>665</v>
      </c>
      <c r="B272" s="2" t="s">
        <v>666</v>
      </c>
      <c r="C272" s="5" t="n">
        <v>45379</v>
      </c>
      <c r="D272" s="6" t="n">
        <f aca="false">YEAR(C272)</f>
        <v>2024</v>
      </c>
      <c r="E272" s="7" t="n">
        <v>15.7896</v>
      </c>
      <c r="F272" s="7" t="n">
        <v>92.2104</v>
      </c>
      <c r="G272" s="3" t="n">
        <f aca="false">E272+F272</f>
        <v>108</v>
      </c>
      <c r="H272" s="2" t="n">
        <v>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/>
      <c r="R272" s="2"/>
      <c r="S272" s="2" t="s">
        <v>646</v>
      </c>
    </row>
    <row r="273" customFormat="false" ht="15" hidden="false" customHeight="false" outlineLevel="0" collapsed="false">
      <c r="A273" s="2" t="s">
        <v>667</v>
      </c>
      <c r="B273" s="2" t="s">
        <v>668</v>
      </c>
      <c r="C273" s="5" t="n">
        <v>45379</v>
      </c>
      <c r="D273" s="6" t="n">
        <f aca="false">YEAR(C273)</f>
        <v>2024</v>
      </c>
      <c r="E273" s="7" t="n">
        <v>197.1438</v>
      </c>
      <c r="F273" s="7" t="n">
        <v>460.0022</v>
      </c>
      <c r="G273" s="3" t="n">
        <f aca="false">E273+F273</f>
        <v>657.146</v>
      </c>
      <c r="H273" s="2" t="n">
        <v>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/>
      <c r="R273" s="2"/>
      <c r="S273" s="2" t="s">
        <v>646</v>
      </c>
    </row>
    <row r="274" customFormat="false" ht="15" hidden="false" customHeight="false" outlineLevel="0" collapsed="false">
      <c r="A274" s="2" t="s">
        <v>669</v>
      </c>
      <c r="B274" s="2" t="s">
        <v>670</v>
      </c>
      <c r="C274" s="5" t="n">
        <v>45405</v>
      </c>
      <c r="D274" s="6" t="n">
        <f aca="false">YEAR(C274)</f>
        <v>2024</v>
      </c>
      <c r="E274" s="7" t="n">
        <v>128.373</v>
      </c>
      <c r="F274" s="7" t="n">
        <v>2457.4865</v>
      </c>
      <c r="G274" s="3" t="n">
        <f aca="false">E274+F274</f>
        <v>2585.8595</v>
      </c>
      <c r="H274" s="2" t="n">
        <v>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/>
      <c r="R274" s="2"/>
      <c r="S274" s="2" t="s">
        <v>646</v>
      </c>
    </row>
    <row r="275" customFormat="false" ht="15" hidden="false" customHeight="false" outlineLevel="0" collapsed="false">
      <c r="A275" s="2" t="s">
        <v>671</v>
      </c>
      <c r="B275" s="2" t="s">
        <v>672</v>
      </c>
      <c r="C275" s="5" t="n">
        <v>45405</v>
      </c>
      <c r="D275" s="6" t="n">
        <f aca="false">YEAR(C275)</f>
        <v>2024</v>
      </c>
      <c r="E275" s="7" t="n">
        <v>67.44</v>
      </c>
      <c r="F275" s="7" t="n">
        <v>67.435</v>
      </c>
      <c r="G275" s="3" t="n">
        <f aca="false">E275+F275</f>
        <v>134.875</v>
      </c>
      <c r="H275" s="2" t="n">
        <v>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1</v>
      </c>
      <c r="Q275" s="2"/>
      <c r="R275" s="2"/>
      <c r="S275" s="2" t="s">
        <v>646</v>
      </c>
    </row>
    <row r="276" customFormat="false" ht="15" hidden="false" customHeight="false" outlineLevel="0" collapsed="false">
      <c r="A276" s="2" t="s">
        <v>673</v>
      </c>
      <c r="B276" s="2" t="s">
        <v>674</v>
      </c>
      <c r="C276" s="5" t="n">
        <v>45406</v>
      </c>
      <c r="D276" s="6" t="n">
        <f aca="false">YEAR(C276)</f>
        <v>2024</v>
      </c>
      <c r="E276" s="7" t="n">
        <v>160.6792</v>
      </c>
      <c r="F276" s="7" t="n">
        <v>200.3018</v>
      </c>
      <c r="G276" s="3" t="n">
        <f aca="false">E276+F276</f>
        <v>360.981</v>
      </c>
      <c r="H276" s="2" t="n">
        <v>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/>
      <c r="R276" s="2"/>
      <c r="S276" s="2" t="s">
        <v>646</v>
      </c>
    </row>
    <row r="277" customFormat="false" ht="15" hidden="false" customHeight="false" outlineLevel="0" collapsed="false">
      <c r="A277" s="2" t="s">
        <v>675</v>
      </c>
      <c r="B277" s="2" t="s">
        <v>676</v>
      </c>
      <c r="C277" s="5" t="n">
        <v>45428</v>
      </c>
      <c r="D277" s="6" t="n">
        <f aca="false">YEAR(C277)</f>
        <v>2024</v>
      </c>
      <c r="E277" s="7" t="n">
        <v>25.942</v>
      </c>
      <c r="F277" s="7" t="n">
        <v>233.4649</v>
      </c>
      <c r="G277" s="3" t="n">
        <f aca="false">E277+F277</f>
        <v>259.4069</v>
      </c>
      <c r="H277" s="2" t="n">
        <v>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/>
      <c r="R277" s="2"/>
      <c r="S277" s="2" t="s">
        <v>646</v>
      </c>
    </row>
    <row r="278" customFormat="false" ht="15" hidden="false" customHeight="false" outlineLevel="0" collapsed="false">
      <c r="A278" s="2" t="s">
        <v>677</v>
      </c>
      <c r="B278" s="2" t="s">
        <v>678</v>
      </c>
      <c r="C278" s="5" t="n">
        <v>45429</v>
      </c>
      <c r="D278" s="6" t="n">
        <f aca="false">YEAR(C278)</f>
        <v>2024</v>
      </c>
      <c r="E278" s="7" t="n">
        <v>38.4</v>
      </c>
      <c r="F278" s="7" t="n">
        <v>89.6</v>
      </c>
      <c r="G278" s="3" t="n">
        <f aca="false">E278+F278</f>
        <v>128</v>
      </c>
      <c r="H278" s="2" t="n">
        <v>0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/>
      <c r="R278" s="2"/>
      <c r="S278" s="2" t="s">
        <v>646</v>
      </c>
    </row>
    <row r="279" customFormat="false" ht="15" hidden="false" customHeight="false" outlineLevel="0" collapsed="false">
      <c r="A279" s="2" t="s">
        <v>679</v>
      </c>
      <c r="B279" s="2" t="s">
        <v>680</v>
      </c>
      <c r="C279" s="5" t="n">
        <v>45436</v>
      </c>
      <c r="D279" s="6" t="n">
        <f aca="false">YEAR(C279)</f>
        <v>2024</v>
      </c>
      <c r="E279" s="7" t="n">
        <v>46.1052</v>
      </c>
      <c r="F279" s="7" t="n">
        <v>414.9441</v>
      </c>
      <c r="G279" s="3" t="n">
        <f aca="false">E279+F279</f>
        <v>461.0493</v>
      </c>
      <c r="H279" s="2" t="n">
        <v>1</v>
      </c>
      <c r="I279" s="2" t="n">
        <v>0</v>
      </c>
      <c r="J279" s="2" t="n">
        <v>1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/>
      <c r="R279" s="2"/>
      <c r="S279" s="2" t="s">
        <v>646</v>
      </c>
    </row>
    <row r="280" customFormat="false" ht="15" hidden="false" customHeight="false" outlineLevel="0" collapsed="false">
      <c r="A280" s="2" t="s">
        <v>681</v>
      </c>
      <c r="B280" s="2" t="s">
        <v>682</v>
      </c>
      <c r="C280" s="5" t="n">
        <v>45439</v>
      </c>
      <c r="D280" s="6" t="n">
        <f aca="false">YEAR(C280)</f>
        <v>2024</v>
      </c>
      <c r="E280" s="7" t="n">
        <v>49.26</v>
      </c>
      <c r="F280" s="7" t="n">
        <v>443.34</v>
      </c>
      <c r="G280" s="3" t="n">
        <f aca="false">E280+F280</f>
        <v>492.6</v>
      </c>
      <c r="H280" s="2" t="n">
        <v>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/>
      <c r="R280" s="2"/>
      <c r="S280" s="2" t="s">
        <v>646</v>
      </c>
    </row>
    <row r="281" customFormat="false" ht="15" hidden="false" customHeight="false" outlineLevel="0" collapsed="false">
      <c r="A281" s="2" t="s">
        <v>683</v>
      </c>
      <c r="B281" s="2" t="s">
        <v>684</v>
      </c>
      <c r="C281" s="5" t="n">
        <v>45440</v>
      </c>
      <c r="D281" s="6" t="n">
        <f aca="false">YEAR(C281)</f>
        <v>2024</v>
      </c>
      <c r="E281" s="7" t="n">
        <v>33.842</v>
      </c>
      <c r="F281" s="7" t="n">
        <v>188.743</v>
      </c>
      <c r="G281" s="3" t="n">
        <f aca="false">E281+F281</f>
        <v>222.585</v>
      </c>
      <c r="H281" s="2" t="n">
        <v>0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/>
      <c r="R281" s="2"/>
      <c r="S281" s="2" t="s">
        <v>646</v>
      </c>
    </row>
    <row r="282" customFormat="false" ht="15" hidden="false" customHeight="false" outlineLevel="0" collapsed="false">
      <c r="A282" s="2" t="s">
        <v>685</v>
      </c>
      <c r="B282" s="2" t="s">
        <v>686</v>
      </c>
      <c r="C282" s="5" t="n">
        <v>45443</v>
      </c>
      <c r="D282" s="6" t="n">
        <f aca="false">YEAR(C282)</f>
        <v>2024</v>
      </c>
      <c r="E282" s="7" t="n">
        <v>30.6</v>
      </c>
      <c r="F282" s="7" t="n">
        <v>122.4</v>
      </c>
      <c r="G282" s="3" t="n">
        <f aca="false">E282+F282</f>
        <v>153</v>
      </c>
      <c r="H282" s="2" t="n">
        <v>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/>
      <c r="R282" s="2"/>
      <c r="S282" s="2" t="s">
        <v>646</v>
      </c>
    </row>
    <row r="283" customFormat="false" ht="15" hidden="false" customHeight="false" outlineLevel="0" collapsed="false">
      <c r="A283" s="2" t="s">
        <v>687</v>
      </c>
      <c r="B283" s="2" t="s">
        <v>688</v>
      </c>
      <c r="C283" s="5" t="n">
        <v>45450</v>
      </c>
      <c r="D283" s="6" t="n">
        <f aca="false">YEAR(C283)</f>
        <v>2024</v>
      </c>
      <c r="E283" s="7" t="n">
        <v>11.31</v>
      </c>
      <c r="F283" s="7" t="n">
        <v>74.5445</v>
      </c>
      <c r="G283" s="3" t="n">
        <f aca="false">E283+F283</f>
        <v>85.8545</v>
      </c>
      <c r="H283" s="2" t="n">
        <v>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/>
      <c r="R283" s="2"/>
      <c r="S283" s="2" t="s">
        <v>646</v>
      </c>
    </row>
    <row r="284" customFormat="false" ht="15" hidden="false" customHeight="false" outlineLevel="0" collapsed="false">
      <c r="A284" s="2" t="s">
        <v>689</v>
      </c>
      <c r="B284" s="2" t="s">
        <v>690</v>
      </c>
      <c r="C284" s="5" t="n">
        <v>45450</v>
      </c>
      <c r="D284" s="6" t="n">
        <f aca="false">YEAR(C284)</f>
        <v>2024</v>
      </c>
      <c r="E284" s="7" t="n">
        <v>133.4418</v>
      </c>
      <c r="F284" s="7" t="n">
        <v>133.4418</v>
      </c>
      <c r="G284" s="3" t="n">
        <f aca="false">E284+F284</f>
        <v>266.8836</v>
      </c>
      <c r="H284" s="2" t="n">
        <v>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/>
      <c r="R284" s="2"/>
      <c r="S284" s="2" t="s">
        <v>646</v>
      </c>
    </row>
    <row r="285" customFormat="false" ht="15" hidden="false" customHeight="false" outlineLevel="0" collapsed="false">
      <c r="A285" s="2" t="s">
        <v>691</v>
      </c>
      <c r="B285" s="2" t="s">
        <v>692</v>
      </c>
      <c r="C285" s="5" t="n">
        <v>45456</v>
      </c>
      <c r="D285" s="6" t="n">
        <f aca="false">YEAR(C285)</f>
        <v>2024</v>
      </c>
      <c r="E285" s="7" t="n">
        <v>197.868</v>
      </c>
      <c r="F285" s="7" t="n">
        <v>837.9043</v>
      </c>
      <c r="G285" s="3" t="n">
        <f aca="false">E285+F285</f>
        <v>1035.7723</v>
      </c>
      <c r="H285" s="2" t="n">
        <v>0</v>
      </c>
      <c r="I285" s="2" t="n">
        <v>1</v>
      </c>
      <c r="J285" s="2" t="n">
        <v>1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/>
      <c r="R285" s="2"/>
      <c r="S285" s="2" t="s">
        <v>646</v>
      </c>
    </row>
    <row r="286" customFormat="false" ht="15" hidden="false" customHeight="false" outlineLevel="0" collapsed="false">
      <c r="A286" s="2" t="s">
        <v>693</v>
      </c>
      <c r="B286" s="2" t="s">
        <v>694</v>
      </c>
      <c r="C286" s="5" t="n">
        <v>45457</v>
      </c>
      <c r="D286" s="6" t="n">
        <f aca="false">YEAR(C286)</f>
        <v>2024</v>
      </c>
      <c r="E286" s="7" t="n">
        <v>158.7</v>
      </c>
      <c r="F286" s="7" t="n">
        <v>370.3</v>
      </c>
      <c r="G286" s="3" t="n">
        <f aca="false">E286+F286</f>
        <v>529</v>
      </c>
      <c r="H286" s="2" t="n">
        <v>0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/>
      <c r="R286" s="2"/>
      <c r="S286" s="2" t="s">
        <v>646</v>
      </c>
    </row>
    <row r="287" customFormat="false" ht="15" hidden="false" customHeight="false" outlineLevel="0" collapsed="false">
      <c r="A287" s="2" t="s">
        <v>695</v>
      </c>
      <c r="B287" s="2" t="s">
        <v>696</v>
      </c>
      <c r="C287" s="5" t="n">
        <v>45461</v>
      </c>
      <c r="D287" s="6" t="n">
        <f aca="false">YEAR(C287)</f>
        <v>2024</v>
      </c>
      <c r="E287" s="7" t="n">
        <v>17.8915</v>
      </c>
      <c r="F287" s="7" t="n">
        <v>82.7585</v>
      </c>
      <c r="G287" s="3" t="n">
        <f aca="false">E287+F287</f>
        <v>100.65</v>
      </c>
      <c r="H287" s="2" t="n">
        <v>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/>
      <c r="R287" s="2"/>
      <c r="S287" s="2" t="s">
        <v>646</v>
      </c>
    </row>
    <row r="288" customFormat="false" ht="15" hidden="false" customHeight="false" outlineLevel="0" collapsed="false">
      <c r="A288" s="2" t="s">
        <v>697</v>
      </c>
      <c r="B288" s="2" t="s">
        <v>698</v>
      </c>
      <c r="C288" s="5" t="n">
        <v>45471</v>
      </c>
      <c r="D288" s="6" t="n">
        <f aca="false">YEAR(C288)</f>
        <v>2024</v>
      </c>
      <c r="E288" s="7" t="n">
        <v>117.273</v>
      </c>
      <c r="F288" s="7" t="n">
        <v>117.273</v>
      </c>
      <c r="G288" s="3" t="n">
        <f aca="false">E288+F288</f>
        <v>234.546</v>
      </c>
      <c r="H288" s="2" t="n">
        <v>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/>
      <c r="R288" s="2"/>
      <c r="S288" s="2" t="s">
        <v>646</v>
      </c>
    </row>
    <row r="289" customFormat="false" ht="15" hidden="false" customHeight="false" outlineLevel="0" collapsed="false">
      <c r="A289" s="2" t="s">
        <v>699</v>
      </c>
      <c r="B289" s="2" t="s">
        <v>700</v>
      </c>
      <c r="C289" s="5" t="n">
        <v>45471</v>
      </c>
      <c r="D289" s="6" t="n">
        <f aca="false">YEAR(C289)</f>
        <v>2024</v>
      </c>
      <c r="E289" s="7" t="n">
        <v>452.9722</v>
      </c>
      <c r="F289" s="7" t="n">
        <v>588.8578</v>
      </c>
      <c r="G289" s="3" t="n">
        <f aca="false">E289+F289</f>
        <v>1041.83</v>
      </c>
      <c r="H289" s="2" t="n">
        <v>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/>
      <c r="R289" s="2"/>
      <c r="S289" s="2" t="s">
        <v>646</v>
      </c>
    </row>
    <row r="290" customFormat="false" ht="15" hidden="false" customHeight="false" outlineLevel="0" collapsed="false">
      <c r="A290" s="2" t="s">
        <v>701</v>
      </c>
      <c r="B290" s="2" t="s">
        <v>702</v>
      </c>
      <c r="C290" s="5" t="n">
        <v>45471</v>
      </c>
      <c r="D290" s="6" t="n">
        <f aca="false">YEAR(C290)</f>
        <v>2024</v>
      </c>
      <c r="E290" s="7" t="n">
        <v>73.9054</v>
      </c>
      <c r="F290" s="7" t="n">
        <v>327.5952</v>
      </c>
      <c r="G290" s="3" t="n">
        <f aca="false">E290+F290</f>
        <v>401.5006</v>
      </c>
      <c r="H290" s="2" t="n">
        <v>0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/>
      <c r="R290" s="2"/>
      <c r="S290" s="2" t="s">
        <v>646</v>
      </c>
    </row>
    <row r="291" customFormat="false" ht="15" hidden="false" customHeight="false" outlineLevel="0" collapsed="false">
      <c r="A291" s="2" t="s">
        <v>703</v>
      </c>
      <c r="B291" s="2" t="s">
        <v>704</v>
      </c>
      <c r="C291" s="5" t="n">
        <v>45476</v>
      </c>
      <c r="D291" s="6" t="n">
        <f aca="false">YEAR(C291)</f>
        <v>2024</v>
      </c>
      <c r="E291" s="7" t="n">
        <v>22.5158</v>
      </c>
      <c r="F291" s="7" t="n">
        <v>102.4852</v>
      </c>
      <c r="G291" s="3" t="n">
        <f aca="false">E291+F291</f>
        <v>125.001</v>
      </c>
      <c r="H291" s="2" t="n">
        <v>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/>
      <c r="R291" s="2"/>
      <c r="S291" s="2" t="s">
        <v>646</v>
      </c>
    </row>
    <row r="292" customFormat="false" ht="15" hidden="false" customHeight="false" outlineLevel="0" collapsed="false">
      <c r="A292" s="2" t="s">
        <v>705</v>
      </c>
      <c r="B292" s="2" t="s">
        <v>706</v>
      </c>
      <c r="C292" s="5" t="n">
        <v>45476</v>
      </c>
      <c r="D292" s="6" t="n">
        <f aca="false">YEAR(C292)</f>
        <v>2024</v>
      </c>
      <c r="E292" s="7" t="n">
        <v>100</v>
      </c>
      <c r="F292" s="7" t="n">
        <v>100</v>
      </c>
      <c r="G292" s="3" t="n">
        <f aca="false">E292+F292</f>
        <v>200</v>
      </c>
      <c r="H292" s="2" t="n">
        <v>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/>
      <c r="R292" s="2"/>
      <c r="S292" s="2" t="s">
        <v>646</v>
      </c>
    </row>
    <row r="293" customFormat="false" ht="15" hidden="false" customHeight="false" outlineLevel="0" collapsed="false">
      <c r="A293" s="2" t="s">
        <v>707</v>
      </c>
      <c r="B293" s="2" t="s">
        <v>708</v>
      </c>
      <c r="C293" s="5" t="n">
        <v>45482</v>
      </c>
      <c r="D293" s="6" t="n">
        <f aca="false">YEAR(C293)</f>
        <v>2024</v>
      </c>
      <c r="E293" s="7" t="n">
        <v>33.3432</v>
      </c>
      <c r="F293" s="7" t="n">
        <v>300.0888</v>
      </c>
      <c r="G293" s="3" t="n">
        <f aca="false">E293+F293</f>
        <v>333.432</v>
      </c>
      <c r="H293" s="2" t="n">
        <v>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/>
      <c r="R293" s="2"/>
      <c r="S293" s="2" t="s">
        <v>646</v>
      </c>
    </row>
    <row r="294" customFormat="false" ht="15" hidden="false" customHeight="false" outlineLevel="0" collapsed="false">
      <c r="A294" s="2" t="s">
        <v>709</v>
      </c>
      <c r="B294" s="2" t="s">
        <v>710</v>
      </c>
      <c r="C294" s="5" t="n">
        <v>45482</v>
      </c>
      <c r="D294" s="6" t="n">
        <f aca="false">YEAR(C294)</f>
        <v>2024</v>
      </c>
      <c r="E294" s="7" t="n">
        <v>58.4052</v>
      </c>
      <c r="F294" s="7" t="n">
        <v>136.2788</v>
      </c>
      <c r="G294" s="3" t="n">
        <f aca="false">E294+F294</f>
        <v>194.684</v>
      </c>
      <c r="H294" s="2" t="n">
        <v>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/>
      <c r="R294" s="2"/>
      <c r="S294" s="2" t="s">
        <v>646</v>
      </c>
    </row>
    <row r="295" customFormat="false" ht="15" hidden="false" customHeight="false" outlineLevel="0" collapsed="false">
      <c r="A295" s="2" t="s">
        <v>711</v>
      </c>
      <c r="B295" s="2" t="s">
        <v>712</v>
      </c>
      <c r="C295" s="5" t="n">
        <v>45483</v>
      </c>
      <c r="D295" s="6" t="n">
        <f aca="false">YEAR(C295)</f>
        <v>2024</v>
      </c>
      <c r="E295" s="7" t="n">
        <v>63.1505</v>
      </c>
      <c r="F295" s="7" t="n">
        <v>987.0175</v>
      </c>
      <c r="G295" s="3" t="n">
        <f aca="false">E295+F295</f>
        <v>1050.168</v>
      </c>
      <c r="H295" s="2" t="n">
        <v>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/>
      <c r="R295" s="2"/>
      <c r="S295" s="2" t="s">
        <v>646</v>
      </c>
    </row>
    <row r="296" customFormat="false" ht="15" hidden="false" customHeight="false" outlineLevel="0" collapsed="false">
      <c r="A296" s="2" t="s">
        <v>713</v>
      </c>
      <c r="B296" s="2" t="s">
        <v>714</v>
      </c>
      <c r="C296" s="5" t="n">
        <v>45483</v>
      </c>
      <c r="D296" s="6" t="n">
        <f aca="false">YEAR(C296)</f>
        <v>2024</v>
      </c>
      <c r="E296" s="7" t="n">
        <v>16.4587</v>
      </c>
      <c r="F296" s="7" t="n">
        <v>114.7913</v>
      </c>
      <c r="G296" s="3" t="n">
        <f aca="false">E296+F296</f>
        <v>131.25</v>
      </c>
      <c r="H296" s="2" t="n">
        <v>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/>
      <c r="R296" s="2"/>
      <c r="S296" s="2" t="s">
        <v>646</v>
      </c>
    </row>
    <row r="297" customFormat="false" ht="15" hidden="false" customHeight="false" outlineLevel="0" collapsed="false">
      <c r="A297" s="2" t="s">
        <v>715</v>
      </c>
      <c r="B297" s="2" t="s">
        <v>716</v>
      </c>
      <c r="C297" s="5" t="n">
        <v>45483</v>
      </c>
      <c r="D297" s="6" t="n">
        <f aca="false">YEAR(C297)</f>
        <v>2024</v>
      </c>
      <c r="E297" s="7" t="n">
        <v>66.4038</v>
      </c>
      <c r="F297" s="7" t="n">
        <v>612.7196</v>
      </c>
      <c r="G297" s="3" t="n">
        <f aca="false">E297+F297</f>
        <v>679.1234</v>
      </c>
      <c r="H297" s="2" t="n">
        <v>0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/>
      <c r="R297" s="2"/>
      <c r="S297" s="2" t="s">
        <v>646</v>
      </c>
    </row>
    <row r="298" customFormat="false" ht="15" hidden="false" customHeight="false" outlineLevel="0" collapsed="false">
      <c r="A298" s="2" t="s">
        <v>717</v>
      </c>
      <c r="B298" s="2" t="s">
        <v>718</v>
      </c>
      <c r="C298" s="5" t="n">
        <v>45485</v>
      </c>
      <c r="D298" s="6" t="n">
        <f aca="false">YEAR(C298)</f>
        <v>2024</v>
      </c>
      <c r="E298" s="7" t="n">
        <v>150.909</v>
      </c>
      <c r="F298" s="7" t="n">
        <v>1362.2922</v>
      </c>
      <c r="G298" s="3" t="n">
        <f aca="false">E298+F298</f>
        <v>1513.2012</v>
      </c>
      <c r="H298" s="2" t="n">
        <v>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</v>
      </c>
      <c r="P298" s="2" t="n">
        <v>0</v>
      </c>
      <c r="Q298" s="2"/>
      <c r="R298" s="2"/>
      <c r="S298" s="2" t="s">
        <v>646</v>
      </c>
    </row>
    <row r="299" customFormat="false" ht="15" hidden="false" customHeight="false" outlineLevel="0" collapsed="false">
      <c r="A299" s="2" t="s">
        <v>719</v>
      </c>
      <c r="B299" s="2" t="s">
        <v>720</v>
      </c>
      <c r="C299" s="5" t="n">
        <v>45488</v>
      </c>
      <c r="D299" s="6" t="n">
        <f aca="false">YEAR(C299)</f>
        <v>2024</v>
      </c>
      <c r="E299" s="7" t="n">
        <v>29.892</v>
      </c>
      <c r="F299" s="7" t="n">
        <v>269.028</v>
      </c>
      <c r="G299" s="3" t="n">
        <f aca="false">E299+F299</f>
        <v>298.92</v>
      </c>
      <c r="H299" s="2" t="n">
        <v>0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/>
      <c r="R299" s="2"/>
      <c r="S299" s="2" t="s">
        <v>646</v>
      </c>
    </row>
    <row r="300" customFormat="false" ht="15" hidden="false" customHeight="false" outlineLevel="0" collapsed="false">
      <c r="A300" s="2" t="s">
        <v>721</v>
      </c>
      <c r="B300" s="2" t="s">
        <v>722</v>
      </c>
      <c r="C300" s="5" t="n">
        <v>45510</v>
      </c>
      <c r="D300" s="6" t="n">
        <f aca="false">YEAR(C300)</f>
        <v>2024</v>
      </c>
      <c r="E300" s="7" t="n">
        <v>30.499</v>
      </c>
      <c r="F300" s="7" t="n">
        <v>216.601</v>
      </c>
      <c r="G300" s="3" t="n">
        <f aca="false">E300+F300</f>
        <v>247.1</v>
      </c>
      <c r="H300" s="2" t="n">
        <v>0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/>
      <c r="R300" s="2"/>
      <c r="S300" s="2" t="s">
        <v>646</v>
      </c>
    </row>
    <row r="301" customFormat="false" ht="15" hidden="false" customHeight="false" outlineLevel="0" collapsed="false">
      <c r="A301" s="2" t="s">
        <v>723</v>
      </c>
      <c r="B301" s="2" t="s">
        <v>724</v>
      </c>
      <c r="C301" s="5" t="n">
        <v>45512</v>
      </c>
      <c r="D301" s="6" t="n">
        <f aca="false">YEAR(C301)</f>
        <v>2024</v>
      </c>
      <c r="E301" s="7" t="n">
        <v>51.8</v>
      </c>
      <c r="F301" s="7" t="n">
        <v>984.2</v>
      </c>
      <c r="G301" s="3" t="n">
        <f aca="false">E301+F301</f>
        <v>1036</v>
      </c>
      <c r="H301" s="2" t="n">
        <v>0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/>
      <c r="R301" s="2" t="s">
        <v>113</v>
      </c>
      <c r="S301" s="2" t="s">
        <v>646</v>
      </c>
    </row>
    <row r="302" customFormat="false" ht="15" hidden="false" customHeight="false" outlineLevel="0" collapsed="false">
      <c r="A302" s="2" t="s">
        <v>725</v>
      </c>
      <c r="B302" s="2" t="s">
        <v>726</v>
      </c>
      <c r="C302" s="5" t="n">
        <v>45524</v>
      </c>
      <c r="D302" s="6" t="n">
        <f aca="false">YEAR(C302)</f>
        <v>2024</v>
      </c>
      <c r="E302" s="7" t="n">
        <v>57.9348</v>
      </c>
      <c r="F302" s="7" t="n">
        <v>521.4132</v>
      </c>
      <c r="G302" s="3" t="n">
        <f aca="false">E302+F302</f>
        <v>579.348</v>
      </c>
      <c r="H302" s="2" t="n">
        <v>1</v>
      </c>
      <c r="I302" s="2" t="n">
        <v>0</v>
      </c>
      <c r="J302" s="2" t="n">
        <v>1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/>
      <c r="R302" s="2"/>
      <c r="S302" s="2" t="s">
        <v>646</v>
      </c>
    </row>
    <row r="303" customFormat="false" ht="15" hidden="false" customHeight="false" outlineLevel="0" collapsed="false">
      <c r="A303" s="2" t="s">
        <v>727</v>
      </c>
      <c r="B303" s="2" t="s">
        <v>728</v>
      </c>
      <c r="C303" s="5" t="n">
        <v>45552</v>
      </c>
      <c r="D303" s="6" t="n">
        <f aca="false">YEAR(C303)</f>
        <v>2024</v>
      </c>
      <c r="E303" s="7" t="n">
        <v>1550.7194</v>
      </c>
      <c r="F303" s="7" t="n">
        <v>34115.7784</v>
      </c>
      <c r="G303" s="3" t="n">
        <f aca="false">E303+F303</f>
        <v>35666.4978</v>
      </c>
      <c r="H303" s="2" t="n">
        <v>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/>
      <c r="R303" s="2"/>
      <c r="S303" s="2" t="s">
        <v>646</v>
      </c>
    </row>
    <row r="304" customFormat="false" ht="15" hidden="false" customHeight="false" outlineLevel="0" collapsed="false">
      <c r="A304" s="2" t="s">
        <v>729</v>
      </c>
      <c r="B304" s="2" t="s">
        <v>730</v>
      </c>
      <c r="C304" s="5" t="n">
        <v>45567</v>
      </c>
      <c r="D304" s="6" t="n">
        <f aca="false">YEAR(C304)</f>
        <v>2024</v>
      </c>
      <c r="E304" s="7" t="n">
        <v>375.3098</v>
      </c>
      <c r="F304" s="7" t="n">
        <v>487.8985</v>
      </c>
      <c r="G304" s="3" t="n">
        <f aca="false">E304+F304</f>
        <v>863.2083</v>
      </c>
      <c r="H304" s="2" t="n">
        <v>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/>
      <c r="R304" s="2"/>
      <c r="S304" s="2" t="s">
        <v>646</v>
      </c>
    </row>
    <row r="305" customFormat="false" ht="15" hidden="false" customHeight="false" outlineLevel="0" collapsed="false">
      <c r="A305" s="2" t="s">
        <v>731</v>
      </c>
      <c r="B305" s="2" t="s">
        <v>732</v>
      </c>
      <c r="C305" s="5" t="n">
        <v>45573</v>
      </c>
      <c r="D305" s="6" t="n">
        <f aca="false">YEAR(C305)</f>
        <v>2024</v>
      </c>
      <c r="E305" s="7" t="n">
        <v>167.5648</v>
      </c>
      <c r="F305" s="7" t="n">
        <v>167.5622</v>
      </c>
      <c r="G305" s="3" t="n">
        <f aca="false">E305+F305</f>
        <v>335.127</v>
      </c>
      <c r="H305" s="2" t="n">
        <v>0</v>
      </c>
      <c r="I305" s="2" t="n">
        <v>0</v>
      </c>
      <c r="J305" s="2" t="n">
        <v>1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/>
      <c r="R305" s="2"/>
      <c r="S305" s="2" t="s">
        <v>646</v>
      </c>
    </row>
    <row r="306" customFormat="false" ht="15" hidden="false" customHeight="false" outlineLevel="0" collapsed="false">
      <c r="A306" s="2" t="s">
        <v>733</v>
      </c>
      <c r="B306" s="2" t="s">
        <v>734</v>
      </c>
      <c r="C306" s="5" t="n">
        <v>45574</v>
      </c>
      <c r="D306" s="6" t="n">
        <f aca="false">YEAR(C306)</f>
        <v>2024</v>
      </c>
      <c r="E306" s="7" t="n">
        <v>91.25</v>
      </c>
      <c r="F306" s="7" t="n">
        <v>91.25</v>
      </c>
      <c r="G306" s="3" t="n">
        <f aca="false">E306+F306</f>
        <v>182.5</v>
      </c>
      <c r="H306" s="2" t="n">
        <v>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1</v>
      </c>
      <c r="Q306" s="2"/>
      <c r="R306" s="2"/>
      <c r="S306" s="2" t="s">
        <v>646</v>
      </c>
    </row>
    <row r="307" customFormat="false" ht="15" hidden="false" customHeight="false" outlineLevel="0" collapsed="false">
      <c r="A307" s="2" t="s">
        <v>735</v>
      </c>
      <c r="B307" s="2" t="s">
        <v>736</v>
      </c>
      <c r="C307" s="5" t="n">
        <v>45581</v>
      </c>
      <c r="D307" s="6" t="n">
        <f aca="false">YEAR(C307)</f>
        <v>2024</v>
      </c>
      <c r="E307" s="7" t="n">
        <v>131.7937</v>
      </c>
      <c r="F307" s="7" t="n">
        <v>307.5188</v>
      </c>
      <c r="G307" s="3" t="n">
        <f aca="false">E307+F307</f>
        <v>439.3125</v>
      </c>
      <c r="H307" s="2" t="n">
        <v>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/>
      <c r="R307" s="2"/>
      <c r="S307" s="2" t="s">
        <v>646</v>
      </c>
    </row>
    <row r="308" customFormat="false" ht="15" hidden="false" customHeight="false" outlineLevel="0" collapsed="false">
      <c r="A308" s="2" t="s">
        <v>737</v>
      </c>
      <c r="B308" s="2" t="s">
        <v>738</v>
      </c>
      <c r="C308" s="5" t="n">
        <v>45588</v>
      </c>
      <c r="D308" s="6" t="n">
        <f aca="false">YEAR(C308)</f>
        <v>2024</v>
      </c>
      <c r="E308" s="7" t="n">
        <v>2017.3937</v>
      </c>
      <c r="F308" s="7" t="n">
        <v>3756.457</v>
      </c>
      <c r="G308" s="3" t="n">
        <f aca="false">E308+F308</f>
        <v>5773.8507</v>
      </c>
      <c r="H308" s="2" t="n">
        <v>0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/>
      <c r="R308" s="2"/>
      <c r="S308" s="2" t="s">
        <v>646</v>
      </c>
    </row>
    <row r="309" customFormat="false" ht="15" hidden="false" customHeight="false" outlineLevel="0" collapsed="false">
      <c r="A309" s="2" t="s">
        <v>739</v>
      </c>
      <c r="B309" s="2" t="s">
        <v>740</v>
      </c>
      <c r="C309" s="5" t="n">
        <v>45589</v>
      </c>
      <c r="D309" s="6" t="n">
        <f aca="false">YEAR(C309)</f>
        <v>2024</v>
      </c>
      <c r="E309" s="7" t="n">
        <v>811.0321</v>
      </c>
      <c r="F309" s="7" t="n">
        <v>5275.8493</v>
      </c>
      <c r="G309" s="3" t="n">
        <f aca="false">E309+F309</f>
        <v>6086.8814</v>
      </c>
      <c r="H309" s="2" t="n">
        <v>0</v>
      </c>
      <c r="I309" s="2" t="n">
        <v>0</v>
      </c>
      <c r="J309" s="2" t="n">
        <v>0</v>
      </c>
      <c r="K309" s="2" t="n">
        <v>1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/>
      <c r="R309" s="2"/>
      <c r="S309" s="2" t="s">
        <v>646</v>
      </c>
    </row>
    <row r="310" customFormat="false" ht="15" hidden="false" customHeight="false" outlineLevel="0" collapsed="false">
      <c r="A310" s="2" t="s">
        <v>741</v>
      </c>
      <c r="B310" s="2" t="s">
        <v>742</v>
      </c>
      <c r="C310" s="5" t="n">
        <v>45595</v>
      </c>
      <c r="D310" s="6" t="n">
        <f aca="false">YEAR(C310)</f>
        <v>2024</v>
      </c>
      <c r="E310" s="7" t="n">
        <v>55</v>
      </c>
      <c r="F310" s="7" t="n">
        <v>495</v>
      </c>
      <c r="G310" s="3" t="n">
        <f aca="false">E310+F310</f>
        <v>550</v>
      </c>
      <c r="H310" s="2" t="n">
        <v>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/>
      <c r="R310" s="2"/>
      <c r="S310" s="2" t="s">
        <v>646</v>
      </c>
    </row>
    <row r="311" customFormat="false" ht="15" hidden="false" customHeight="false" outlineLevel="0" collapsed="false">
      <c r="A311" s="2" t="s">
        <v>743</v>
      </c>
      <c r="B311" s="2" t="s">
        <v>744</v>
      </c>
      <c r="C311" s="5" t="n">
        <v>45595</v>
      </c>
      <c r="D311" s="6" t="n">
        <f aca="false">YEAR(C311)</f>
        <v>2024</v>
      </c>
      <c r="E311" s="7" t="n">
        <v>0</v>
      </c>
      <c r="F311" s="7" t="n">
        <v>0</v>
      </c>
      <c r="G311" s="3" t="n">
        <f aca="false">E311+F311</f>
        <v>0</v>
      </c>
      <c r="H311" s="2" t="n">
        <v>0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/>
      <c r="R311" s="2"/>
      <c r="S311" s="2" t="s">
        <v>646</v>
      </c>
    </row>
    <row r="312" customFormat="false" ht="15" hidden="false" customHeight="false" outlineLevel="0" collapsed="false">
      <c r="A312" s="2" t="s">
        <v>745</v>
      </c>
      <c r="B312" s="2" t="s">
        <v>746</v>
      </c>
      <c r="C312" s="5" t="n">
        <v>45596</v>
      </c>
      <c r="D312" s="6" t="n">
        <f aca="false">YEAR(C312)</f>
        <v>2024</v>
      </c>
      <c r="E312" s="7" t="n">
        <v>28.0096</v>
      </c>
      <c r="F312" s="7" t="n">
        <v>205.3984</v>
      </c>
      <c r="G312" s="3" t="n">
        <f aca="false">E312+F312</f>
        <v>233.408</v>
      </c>
      <c r="H312" s="2" t="n">
        <v>1</v>
      </c>
      <c r="I312" s="2" t="n">
        <v>0</v>
      </c>
      <c r="J312" s="2" t="n">
        <v>1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/>
      <c r="R312" s="2"/>
      <c r="S312" s="2" t="s">
        <v>646</v>
      </c>
    </row>
    <row r="313" customFormat="false" ht="15" hidden="false" customHeight="false" outlineLevel="0" collapsed="false">
      <c r="A313" s="2" t="s">
        <v>747</v>
      </c>
      <c r="B313" s="2" t="s">
        <v>748</v>
      </c>
      <c r="C313" s="5" t="n">
        <v>45597</v>
      </c>
      <c r="D313" s="6" t="n">
        <f aca="false">YEAR(C313)</f>
        <v>2024</v>
      </c>
      <c r="E313" s="7" t="n">
        <v>104.8929</v>
      </c>
      <c r="F313" s="7" t="n">
        <v>1002.9367</v>
      </c>
      <c r="G313" s="3" t="n">
        <f aca="false">E313+F313</f>
        <v>1107.8296</v>
      </c>
      <c r="H313" s="2" t="n">
        <v>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/>
      <c r="R313" s="2"/>
      <c r="S313" s="2" t="s">
        <v>646</v>
      </c>
    </row>
    <row r="314" customFormat="false" ht="15" hidden="false" customHeight="false" outlineLevel="0" collapsed="false">
      <c r="A314" s="2" t="s">
        <v>749</v>
      </c>
      <c r="B314" s="2" t="s">
        <v>750</v>
      </c>
      <c r="C314" s="5" t="n">
        <v>45604</v>
      </c>
      <c r="D314" s="6" t="n">
        <f aca="false">YEAR(C314)</f>
        <v>2024</v>
      </c>
      <c r="E314" s="7" t="n">
        <v>69.7452</v>
      </c>
      <c r="F314" s="7" t="n">
        <v>69.7452</v>
      </c>
      <c r="G314" s="3" t="n">
        <f aca="false">E314+F314</f>
        <v>139.4904</v>
      </c>
      <c r="H314" s="2" t="n">
        <v>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/>
      <c r="R314" s="2"/>
      <c r="S314" s="2" t="s">
        <v>646</v>
      </c>
    </row>
    <row r="315" customFormat="false" ht="15" hidden="false" customHeight="false" outlineLevel="0" collapsed="false">
      <c r="A315" s="2" t="s">
        <v>751</v>
      </c>
      <c r="B315" s="2" t="s">
        <v>752</v>
      </c>
      <c r="C315" s="5" t="n">
        <v>45604</v>
      </c>
      <c r="D315" s="6" t="n">
        <f aca="false">YEAR(C315)</f>
        <v>2024</v>
      </c>
      <c r="E315" s="7" t="n">
        <v>139.9086</v>
      </c>
      <c r="F315" s="7" t="n">
        <v>326.4487</v>
      </c>
      <c r="G315" s="3" t="n">
        <f aca="false">E315+F315</f>
        <v>466.3573</v>
      </c>
      <c r="H315" s="2" t="n">
        <v>0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/>
      <c r="R315" s="2"/>
      <c r="S315" s="2" t="s">
        <v>646</v>
      </c>
    </row>
    <row r="316" customFormat="false" ht="15" hidden="false" customHeight="false" outlineLevel="0" collapsed="false">
      <c r="A316" s="2" t="s">
        <v>753</v>
      </c>
      <c r="B316" s="2" t="s">
        <v>754</v>
      </c>
      <c r="C316" s="5" t="n">
        <v>45611</v>
      </c>
      <c r="D316" s="6" t="n">
        <f aca="false">YEAR(C316)</f>
        <v>2024</v>
      </c>
      <c r="E316" s="7" t="n">
        <v>47.1445</v>
      </c>
      <c r="F316" s="7" t="n">
        <v>342.8555</v>
      </c>
      <c r="G316" s="3" t="n">
        <f aca="false">E316+F316</f>
        <v>390</v>
      </c>
      <c r="H316" s="2" t="n">
        <v>0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1</v>
      </c>
      <c r="N316" s="2" t="n">
        <v>0</v>
      </c>
      <c r="O316" s="2" t="n">
        <v>0</v>
      </c>
      <c r="P316" s="2" t="n">
        <v>0</v>
      </c>
      <c r="Q316" s="2"/>
      <c r="R316" s="2"/>
      <c r="S316" s="2" t="s">
        <v>646</v>
      </c>
    </row>
    <row r="317" customFormat="false" ht="15" hidden="false" customHeight="false" outlineLevel="0" collapsed="false">
      <c r="A317" s="2" t="s">
        <v>755</v>
      </c>
      <c r="B317" s="2" t="s">
        <v>756</v>
      </c>
      <c r="C317" s="5" t="n">
        <v>45623</v>
      </c>
      <c r="D317" s="6" t="n">
        <f aca="false">YEAR(C317)</f>
        <v>2024</v>
      </c>
      <c r="E317" s="7" t="n">
        <v>1078.735</v>
      </c>
      <c r="F317" s="7" t="n">
        <v>4752.265</v>
      </c>
      <c r="G317" s="3" t="n">
        <f aca="false">E317+F317</f>
        <v>5831</v>
      </c>
      <c r="H317" s="2" t="n">
        <v>0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/>
      <c r="R317" s="2"/>
      <c r="S317" s="2" t="s">
        <v>646</v>
      </c>
    </row>
    <row r="318" customFormat="false" ht="15" hidden="false" customHeight="false" outlineLevel="0" collapsed="false">
      <c r="A318" s="2" t="s">
        <v>757</v>
      </c>
      <c r="B318" s="2" t="s">
        <v>758</v>
      </c>
      <c r="C318" s="5" t="n">
        <v>45624</v>
      </c>
      <c r="D318" s="6" t="n">
        <f aca="false">YEAR(C318)</f>
        <v>2024</v>
      </c>
      <c r="E318" s="7" t="n">
        <v>281.9265</v>
      </c>
      <c r="F318" s="7" t="n">
        <v>281.9265</v>
      </c>
      <c r="G318" s="3" t="n">
        <f aca="false">E318+F318</f>
        <v>563.853</v>
      </c>
      <c r="H318" s="2" t="n">
        <v>0</v>
      </c>
      <c r="I318" s="2" t="n">
        <v>0</v>
      </c>
      <c r="J318" s="2" t="n">
        <v>1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/>
      <c r="R318" s="2"/>
      <c r="S318" s="2" t="s">
        <v>646</v>
      </c>
    </row>
    <row r="319" customFormat="false" ht="15" hidden="false" customHeight="false" outlineLevel="0" collapsed="false">
      <c r="A319" s="2" t="s">
        <v>759</v>
      </c>
      <c r="B319" s="2" t="s">
        <v>760</v>
      </c>
      <c r="C319" s="5" t="n">
        <v>45625</v>
      </c>
      <c r="D319" s="6" t="n">
        <f aca="false">YEAR(C319)</f>
        <v>2024</v>
      </c>
      <c r="E319" s="7" t="n">
        <v>105.4968</v>
      </c>
      <c r="F319" s="7" t="n">
        <v>421.9848</v>
      </c>
      <c r="G319" s="3" t="n">
        <f aca="false">E319+F319</f>
        <v>527.4816</v>
      </c>
      <c r="H319" s="2" t="n">
        <v>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/>
      <c r="R319" s="2"/>
      <c r="S319" s="2" t="s">
        <v>646</v>
      </c>
    </row>
    <row r="320" customFormat="false" ht="15" hidden="false" customHeight="false" outlineLevel="0" collapsed="false">
      <c r="A320" s="2" t="s">
        <v>761</v>
      </c>
      <c r="B320" s="2" t="s">
        <v>762</v>
      </c>
      <c r="C320" s="5" t="n">
        <v>45632</v>
      </c>
      <c r="D320" s="6" t="n">
        <f aca="false">YEAR(C320)</f>
        <v>2024</v>
      </c>
      <c r="E320" s="7" t="n">
        <v>77.8633</v>
      </c>
      <c r="F320" s="7" t="n">
        <v>700.7693</v>
      </c>
      <c r="G320" s="3" t="n">
        <f aca="false">E320+F320</f>
        <v>778.6326</v>
      </c>
      <c r="H320" s="2" t="n">
        <v>0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/>
      <c r="R320" s="2"/>
      <c r="S320" s="2" t="s">
        <v>646</v>
      </c>
    </row>
    <row r="321" customFormat="false" ht="15" hidden="false" customHeight="false" outlineLevel="0" collapsed="false">
      <c r="A321" s="2" t="s">
        <v>763</v>
      </c>
      <c r="B321" s="2" t="s">
        <v>764</v>
      </c>
      <c r="C321" s="5" t="n">
        <v>45632</v>
      </c>
      <c r="D321" s="6" t="n">
        <f aca="false">YEAR(C321)</f>
        <v>2024</v>
      </c>
      <c r="E321" s="7" t="n">
        <v>70.9716</v>
      </c>
      <c r="F321" s="7" t="n">
        <v>642.1401</v>
      </c>
      <c r="G321" s="3" t="n">
        <f aca="false">E321+F321</f>
        <v>713.1117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/>
      <c r="R321" s="2"/>
      <c r="S321" s="2" t="s">
        <v>646</v>
      </c>
    </row>
    <row r="322" customFormat="false" ht="15" hidden="false" customHeight="false" outlineLevel="0" collapsed="false">
      <c r="A322" s="2" t="s">
        <v>765</v>
      </c>
      <c r="B322" s="2" t="s">
        <v>766</v>
      </c>
      <c r="C322" s="5" t="n">
        <v>45636</v>
      </c>
      <c r="D322" s="6" t="n">
        <f aca="false">YEAR(C322)</f>
        <v>2024</v>
      </c>
      <c r="E322" s="7" t="n">
        <v>1168.5087</v>
      </c>
      <c r="F322" s="7" t="n">
        <v>1519.061</v>
      </c>
      <c r="G322" s="3" t="n">
        <f aca="false">E322+F322</f>
        <v>2687.5697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/>
      <c r="R322" s="2"/>
      <c r="S322" s="2" t="s">
        <v>646</v>
      </c>
    </row>
    <row r="323" customFormat="false" ht="15" hidden="false" customHeight="false" outlineLevel="0" collapsed="false">
      <c r="A323" s="2" t="s">
        <v>767</v>
      </c>
      <c r="B323" s="2" t="s">
        <v>768</v>
      </c>
      <c r="C323" s="5" t="n">
        <v>45645</v>
      </c>
      <c r="D323" s="6" t="n">
        <f aca="false">YEAR(C323)</f>
        <v>2024</v>
      </c>
      <c r="E323" s="7" t="n">
        <v>62.502</v>
      </c>
      <c r="F323" s="7" t="n">
        <v>62.499</v>
      </c>
      <c r="G323" s="3" t="n">
        <f aca="false">E323+F323</f>
        <v>125.001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/>
      <c r="R323" s="2"/>
      <c r="S323" s="2" t="s">
        <v>646</v>
      </c>
    </row>
    <row r="324" customFormat="false" ht="15" hidden="false" customHeight="false" outlineLevel="0" collapsed="false">
      <c r="A324" s="2" t="s">
        <v>769</v>
      </c>
      <c r="B324" s="2" t="s">
        <v>770</v>
      </c>
      <c r="C324" s="5" t="n">
        <v>45646</v>
      </c>
      <c r="D324" s="6" t="n">
        <f aca="false">YEAR(C324)</f>
        <v>2024</v>
      </c>
      <c r="E324" s="7" t="n">
        <v>86.0064</v>
      </c>
      <c r="F324" s="7" t="n">
        <v>774.0304</v>
      </c>
      <c r="G324" s="3" t="n">
        <f aca="false">E324+F324</f>
        <v>860.0368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/>
      <c r="R324" s="2"/>
      <c r="S324" s="2" t="s">
        <v>646</v>
      </c>
    </row>
    <row r="325" customFormat="false" ht="15" hidden="false" customHeight="false" outlineLevel="0" collapsed="false">
      <c r="A325" s="2" t="s">
        <v>771</v>
      </c>
      <c r="B325" s="2" t="s">
        <v>772</v>
      </c>
      <c r="C325" s="5" t="n">
        <v>45649</v>
      </c>
      <c r="D325" s="6" t="n">
        <f aca="false">YEAR(C325)</f>
        <v>2024</v>
      </c>
      <c r="E325" s="7" t="n">
        <v>37.6</v>
      </c>
      <c r="F325" s="7" t="n">
        <v>793.2735</v>
      </c>
      <c r="G325" s="3" t="n">
        <f aca="false">E325+F325</f>
        <v>830.8735</v>
      </c>
      <c r="H325" s="2" t="n">
        <v>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/>
      <c r="R325" s="2"/>
      <c r="S325" s="2" t="s">
        <v>646</v>
      </c>
    </row>
    <row r="326" customFormat="false" ht="15" hidden="false" customHeight="false" outlineLevel="0" collapsed="false">
      <c r="A326" s="2" t="s">
        <v>773</v>
      </c>
      <c r="B326" s="2" t="s">
        <v>774</v>
      </c>
      <c r="C326" s="5" t="n">
        <v>45653</v>
      </c>
      <c r="D326" s="6" t="n">
        <f aca="false">YEAR(C326)</f>
        <v>2024</v>
      </c>
      <c r="E326" s="7" t="n">
        <v>66.623</v>
      </c>
      <c r="F326" s="7" t="n">
        <v>612.4658</v>
      </c>
      <c r="G326" s="3" t="n">
        <f aca="false">E326+F326</f>
        <v>679.0888</v>
      </c>
      <c r="H326" s="2" t="n">
        <v>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/>
      <c r="R326" s="2"/>
      <c r="S326" s="2" t="s">
        <v>646</v>
      </c>
    </row>
    <row r="327" customFormat="false" ht="15" hidden="false" customHeight="false" outlineLevel="0" collapsed="false">
      <c r="A327" s="2" t="s">
        <v>775</v>
      </c>
      <c r="B327" s="2" t="s">
        <v>776</v>
      </c>
      <c r="C327" s="5" t="n">
        <v>45656</v>
      </c>
      <c r="D327" s="6" t="n">
        <f aca="false">YEAR(C327)</f>
        <v>2024</v>
      </c>
      <c r="E327" s="7" t="n">
        <v>25.74</v>
      </c>
      <c r="F327" s="7" t="n">
        <v>169.26</v>
      </c>
      <c r="G327" s="3" t="n">
        <f aca="false">E327+F327</f>
        <v>195</v>
      </c>
      <c r="H327" s="2" t="n">
        <v>0</v>
      </c>
      <c r="I327" s="2" t="n">
        <v>0</v>
      </c>
      <c r="J327" s="2" t="n">
        <v>1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/>
      <c r="R327" s="2"/>
      <c r="S327" s="2" t="s">
        <v>646</v>
      </c>
    </row>
    <row r="328" customFormat="false" ht="15" hidden="false" customHeight="false" outlineLevel="0" collapsed="false">
      <c r="A328" s="2" t="s">
        <v>777</v>
      </c>
      <c r="B328" s="2" t="s">
        <v>778</v>
      </c>
      <c r="C328" s="5" t="n">
        <v>45656</v>
      </c>
      <c r="D328" s="6" t="n">
        <f aca="false">YEAR(C328)</f>
        <v>2024</v>
      </c>
      <c r="E328" s="7" t="n">
        <v>139.9933</v>
      </c>
      <c r="F328" s="7" t="n">
        <v>1311.3031</v>
      </c>
      <c r="G328" s="3" t="n">
        <f aca="false">E328+F328</f>
        <v>1451.2964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/>
      <c r="R328" s="2" t="s">
        <v>113</v>
      </c>
      <c r="S328" s="2" t="s">
        <v>646</v>
      </c>
    </row>
    <row r="329" customFormat="false" ht="15" hidden="false" customHeight="false" outlineLevel="0" collapsed="false">
      <c r="A329" s="2" t="s">
        <v>779</v>
      </c>
      <c r="B329" s="2" t="s">
        <v>780</v>
      </c>
      <c r="C329" s="5" t="n">
        <v>45656</v>
      </c>
      <c r="D329" s="6" t="n">
        <f aca="false">YEAR(C329)</f>
        <v>2024</v>
      </c>
      <c r="E329" s="7" t="n">
        <v>58.2581</v>
      </c>
      <c r="F329" s="7" t="n">
        <v>524.2855</v>
      </c>
      <c r="G329" s="3" t="n">
        <f aca="false">E329+F329</f>
        <v>582.5436</v>
      </c>
      <c r="H329" s="2" t="n">
        <v>0</v>
      </c>
      <c r="I329" s="2" t="n">
        <v>0</v>
      </c>
      <c r="J329" s="2" t="n">
        <v>1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/>
      <c r="R329" s="2"/>
      <c r="S329" s="2" t="s">
        <v>646</v>
      </c>
    </row>
    <row r="330" customFormat="false" ht="15" hidden="false" customHeight="false" outlineLevel="0" collapsed="false">
      <c r="A330" s="2" t="s">
        <v>781</v>
      </c>
      <c r="B330" s="2" t="s">
        <v>782</v>
      </c>
      <c r="C330" s="5" t="n">
        <v>45665</v>
      </c>
      <c r="D330" s="6" t="n">
        <f aca="false">YEAR(C330)</f>
        <v>2025</v>
      </c>
      <c r="E330" s="7" t="n">
        <v>58.3206</v>
      </c>
      <c r="F330" s="7" t="n">
        <v>524.86</v>
      </c>
      <c r="G330" s="3" t="n">
        <f aca="false">E330+F330</f>
        <v>583.1806</v>
      </c>
      <c r="H330" s="2" t="n">
        <v>1</v>
      </c>
      <c r="I330" s="2" t="n">
        <v>0</v>
      </c>
      <c r="J330" s="2" t="n">
        <v>1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/>
      <c r="R330" s="2"/>
      <c r="S330" s="2" t="s">
        <v>783</v>
      </c>
    </row>
    <row r="331" customFormat="false" ht="15" hidden="false" customHeight="false" outlineLevel="0" collapsed="false">
      <c r="A331" s="2" t="s">
        <v>784</v>
      </c>
      <c r="B331" s="2" t="s">
        <v>785</v>
      </c>
      <c r="C331" s="5" t="n">
        <v>45666</v>
      </c>
      <c r="D331" s="6" t="n">
        <f aca="false">YEAR(C331)</f>
        <v>2025</v>
      </c>
      <c r="E331" s="7" t="n">
        <v>130.479</v>
      </c>
      <c r="F331" s="7" t="n">
        <v>304.443</v>
      </c>
      <c r="G331" s="3" t="n">
        <f aca="false">E331+F331</f>
        <v>434.922</v>
      </c>
      <c r="H331" s="2" t="n">
        <v>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/>
      <c r="R331" s="2"/>
      <c r="S331" s="2" t="s">
        <v>783</v>
      </c>
    </row>
    <row r="332" customFormat="false" ht="15" hidden="false" customHeight="false" outlineLevel="0" collapsed="false">
      <c r="A332" s="2" t="s">
        <v>786</v>
      </c>
      <c r="B332" s="2" t="s">
        <v>787</v>
      </c>
      <c r="C332" s="5" t="n">
        <v>45666</v>
      </c>
      <c r="D332" s="6" t="n">
        <f aca="false">YEAR(C332)</f>
        <v>2025</v>
      </c>
      <c r="E332" s="7" t="n">
        <v>60.2356</v>
      </c>
      <c r="F332" s="7" t="n">
        <v>257.7644</v>
      </c>
      <c r="G332" s="3" t="n">
        <f aca="false">E332+F332</f>
        <v>318</v>
      </c>
      <c r="H332" s="2" t="n">
        <v>0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/>
      <c r="R332" s="2"/>
      <c r="S332" s="2" t="s">
        <v>783</v>
      </c>
    </row>
    <row r="333" customFormat="false" ht="15" hidden="false" customHeight="false" outlineLevel="0" collapsed="false">
      <c r="A333" s="2" t="s">
        <v>788</v>
      </c>
      <c r="B333" s="2" t="s">
        <v>789</v>
      </c>
      <c r="C333" s="5" t="n">
        <v>45667</v>
      </c>
      <c r="D333" s="6" t="n">
        <f aca="false">YEAR(C333)</f>
        <v>2025</v>
      </c>
      <c r="E333" s="7" t="n">
        <v>727.8391</v>
      </c>
      <c r="F333" s="7" t="n">
        <v>1197.2655</v>
      </c>
      <c r="G333" s="3" t="n">
        <f aca="false">E333+F333</f>
        <v>1925.1046</v>
      </c>
      <c r="H333" s="2" t="n">
        <v>0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/>
      <c r="R333" s="2"/>
      <c r="S333" s="2" t="s">
        <v>783</v>
      </c>
    </row>
    <row r="334" customFormat="false" ht="15" hidden="false" customHeight="false" outlineLevel="0" collapsed="false">
      <c r="A334" s="2" t="s">
        <v>790</v>
      </c>
      <c r="B334" s="2" t="s">
        <v>791</v>
      </c>
      <c r="C334" s="5" t="n">
        <v>45667</v>
      </c>
      <c r="D334" s="6" t="n">
        <f aca="false">YEAR(C334)</f>
        <v>2025</v>
      </c>
      <c r="E334" s="7" t="n">
        <v>80</v>
      </c>
      <c r="F334" s="7" t="n">
        <v>120</v>
      </c>
      <c r="G334" s="3" t="n">
        <f aca="false">E334+F334</f>
        <v>200</v>
      </c>
      <c r="H334" s="2" t="n">
        <v>0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s">
        <v>792</v>
      </c>
      <c r="R334" s="2"/>
      <c r="S334" s="2" t="s">
        <v>783</v>
      </c>
    </row>
    <row r="335" customFormat="false" ht="15" hidden="false" customHeight="false" outlineLevel="0" collapsed="false">
      <c r="A335" s="2" t="s">
        <v>793</v>
      </c>
      <c r="B335" s="2" t="s">
        <v>794</v>
      </c>
      <c r="C335" s="5" t="n">
        <v>45670</v>
      </c>
      <c r="D335" s="6" t="n">
        <f aca="false">YEAR(C335)</f>
        <v>2025</v>
      </c>
      <c r="E335" s="7" t="n">
        <v>30.48</v>
      </c>
      <c r="F335" s="7" t="n">
        <v>274.32</v>
      </c>
      <c r="G335" s="3" t="n">
        <f aca="false">E335+F335</f>
        <v>304.8</v>
      </c>
      <c r="H335" s="2" t="n">
        <v>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/>
      <c r="R335" s="2"/>
      <c r="S335" s="2" t="s">
        <v>783</v>
      </c>
    </row>
    <row r="336" customFormat="false" ht="15" hidden="false" customHeight="false" outlineLevel="0" collapsed="false">
      <c r="A336" s="2" t="s">
        <v>795</v>
      </c>
      <c r="B336" s="2" t="s">
        <v>796</v>
      </c>
      <c r="C336" s="5" t="n">
        <v>45670</v>
      </c>
      <c r="D336" s="6" t="n">
        <f aca="false">YEAR(C336)</f>
        <v>2025</v>
      </c>
      <c r="E336" s="7" t="n">
        <v>37.6534</v>
      </c>
      <c r="F336" s="7" t="n">
        <v>1745.3026</v>
      </c>
      <c r="G336" s="3" t="n">
        <f aca="false">E336+F336</f>
        <v>1782.956</v>
      </c>
      <c r="H336" s="2" t="n">
        <v>0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/>
      <c r="R336" s="2"/>
      <c r="S336" s="2" t="s">
        <v>783</v>
      </c>
    </row>
    <row r="337" customFormat="false" ht="15" hidden="false" customHeight="false" outlineLevel="0" collapsed="false">
      <c r="A337" s="2" t="s">
        <v>797</v>
      </c>
      <c r="B337" s="2" t="s">
        <v>798</v>
      </c>
      <c r="C337" s="5" t="n">
        <v>45672</v>
      </c>
      <c r="D337" s="6" t="n">
        <f aca="false">YEAR(C337)</f>
        <v>2025</v>
      </c>
      <c r="E337" s="7" t="n">
        <v>43.3009</v>
      </c>
      <c r="F337" s="7" t="n">
        <v>389.7</v>
      </c>
      <c r="G337" s="3" t="n">
        <f aca="false">E337+F337</f>
        <v>433.0009</v>
      </c>
      <c r="H337" s="2" t="n">
        <v>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/>
      <c r="R337" s="2"/>
      <c r="S337" s="2" t="s">
        <v>783</v>
      </c>
    </row>
    <row r="338" customFormat="false" ht="15" hidden="false" customHeight="false" outlineLevel="0" collapsed="false">
      <c r="A338" s="2" t="s">
        <v>799</v>
      </c>
      <c r="B338" s="2" t="s">
        <v>800</v>
      </c>
      <c r="C338" s="5" t="n">
        <v>45700</v>
      </c>
      <c r="D338" s="6" t="n">
        <f aca="false">YEAR(C338)</f>
        <v>2025</v>
      </c>
      <c r="E338" s="7" t="n">
        <v>788.3016</v>
      </c>
      <c r="F338" s="7" t="n">
        <v>1242.17</v>
      </c>
      <c r="G338" s="3" t="n">
        <f aca="false">E338+F338</f>
        <v>2030.4716</v>
      </c>
      <c r="H338" s="2" t="n">
        <v>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/>
      <c r="R338" s="2"/>
      <c r="S338" s="2" t="s">
        <v>783</v>
      </c>
    </row>
    <row r="339" customFormat="false" ht="15" hidden="false" customHeight="false" outlineLevel="0" collapsed="false">
      <c r="A339" s="2" t="s">
        <v>801</v>
      </c>
      <c r="B339" s="2" t="s">
        <v>802</v>
      </c>
      <c r="C339" s="5" t="n">
        <v>45706</v>
      </c>
      <c r="D339" s="6" t="n">
        <f aca="false">YEAR(C339)</f>
        <v>2025</v>
      </c>
      <c r="E339" s="7" t="n">
        <v>0</v>
      </c>
      <c r="F339" s="7" t="n">
        <v>0</v>
      </c>
      <c r="G339" s="3" t="n">
        <f aca="false">E339+F339</f>
        <v>0</v>
      </c>
      <c r="H339" s="2" t="n">
        <v>0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/>
      <c r="R339" s="2"/>
      <c r="S339" s="2" t="s">
        <v>783</v>
      </c>
    </row>
    <row r="340" customFormat="false" ht="15" hidden="false" customHeight="false" outlineLevel="0" collapsed="false">
      <c r="A340" s="2" t="s">
        <v>803</v>
      </c>
      <c r="B340" s="2" t="s">
        <v>804</v>
      </c>
      <c r="C340" s="5" t="n">
        <v>45719</v>
      </c>
      <c r="D340" s="6" t="n">
        <f aca="false">YEAR(C340)</f>
        <v>2025</v>
      </c>
      <c r="E340" s="7" t="n">
        <v>1727.325</v>
      </c>
      <c r="F340" s="7" t="n">
        <v>2245.482</v>
      </c>
      <c r="G340" s="3" t="n">
        <f aca="false">E340+F340</f>
        <v>3972.807</v>
      </c>
      <c r="H340" s="2" t="n">
        <v>0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/>
      <c r="R340" s="2"/>
      <c r="S340" s="2" t="s">
        <v>783</v>
      </c>
    </row>
    <row r="341" customFormat="false" ht="15" hidden="false" customHeight="false" outlineLevel="0" collapsed="false">
      <c r="A341" s="2" t="s">
        <v>805</v>
      </c>
      <c r="B341" s="2" t="s">
        <v>806</v>
      </c>
      <c r="C341" s="5" t="n">
        <v>45726</v>
      </c>
      <c r="D341" s="6" t="n">
        <f aca="false">YEAR(C341)</f>
        <v>2025</v>
      </c>
      <c r="E341" s="7" t="n">
        <v>0</v>
      </c>
      <c r="F341" s="7" t="n">
        <v>0</v>
      </c>
      <c r="G341" s="3" t="n">
        <f aca="false">E341+F341</f>
        <v>0</v>
      </c>
      <c r="H341" s="2" t="n">
        <v>0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/>
      <c r="R341" s="2"/>
      <c r="S341" s="2" t="s">
        <v>783</v>
      </c>
    </row>
    <row r="342" customFormat="false" ht="15" hidden="false" customHeight="false" outlineLevel="0" collapsed="false">
      <c r="A342" s="2" t="s">
        <v>807</v>
      </c>
      <c r="B342" s="2" t="s">
        <v>808</v>
      </c>
      <c r="C342" s="5" t="n">
        <v>45726</v>
      </c>
      <c r="D342" s="6" t="n">
        <f aca="false">YEAR(C342)</f>
        <v>2025</v>
      </c>
      <c r="E342" s="7" t="n">
        <v>282.1545</v>
      </c>
      <c r="F342" s="7" t="n">
        <v>2962.6227</v>
      </c>
      <c r="G342" s="3" t="n">
        <f aca="false">E342+F342</f>
        <v>3244.7772</v>
      </c>
      <c r="H342" s="2" t="n">
        <v>0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/>
      <c r="R342" s="2"/>
      <c r="S342" s="2" t="s">
        <v>783</v>
      </c>
    </row>
    <row r="343" customFormat="false" ht="15" hidden="false" customHeight="false" outlineLevel="0" collapsed="false">
      <c r="A343" s="2" t="s">
        <v>809</v>
      </c>
      <c r="B343" s="2" t="s">
        <v>810</v>
      </c>
      <c r="C343" s="5" t="n">
        <v>45737</v>
      </c>
      <c r="D343" s="6" t="n">
        <f aca="false">YEAR(C343)</f>
        <v>2025</v>
      </c>
      <c r="E343" s="7" t="n">
        <v>313.3152</v>
      </c>
      <c r="F343" s="7" t="n">
        <v>469.9728</v>
      </c>
      <c r="G343" s="3" t="n">
        <f aca="false">E343+F343</f>
        <v>783.288</v>
      </c>
      <c r="H343" s="2" t="n">
        <v>1</v>
      </c>
      <c r="I343" s="2" t="n">
        <v>0</v>
      </c>
      <c r="J343" s="2" t="n">
        <v>1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/>
      <c r="R343" s="2"/>
      <c r="S343" s="2" t="s">
        <v>783</v>
      </c>
    </row>
    <row r="344" customFormat="false" ht="15" hidden="false" customHeight="false" outlineLevel="0" collapsed="false">
      <c r="A344" s="2" t="s">
        <v>811</v>
      </c>
      <c r="B344" s="2" t="s">
        <v>812</v>
      </c>
      <c r="C344" s="5" t="n">
        <v>45741</v>
      </c>
      <c r="D344" s="6" t="n">
        <f aca="false">YEAR(C344)</f>
        <v>2025</v>
      </c>
      <c r="E344" s="7" t="n">
        <v>234.7078</v>
      </c>
      <c r="F344" s="7" t="n">
        <v>2144.2686</v>
      </c>
      <c r="G344" s="3" t="n">
        <f aca="false">E344+F344</f>
        <v>2378.9764</v>
      </c>
      <c r="H344" s="2" t="n">
        <v>0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/>
      <c r="R344" s="2"/>
      <c r="S344" s="2" t="s">
        <v>783</v>
      </c>
    </row>
    <row r="345" customFormat="false" ht="15" hidden="false" customHeight="false" outlineLevel="0" collapsed="false">
      <c r="A345" s="2" t="s">
        <v>813</v>
      </c>
      <c r="B345" s="2" t="s">
        <v>814</v>
      </c>
      <c r="C345" s="5" t="n">
        <v>45743</v>
      </c>
      <c r="D345" s="6" t="n">
        <f aca="false">YEAR(C345)</f>
        <v>2025</v>
      </c>
      <c r="E345" s="7" t="n">
        <v>63.75</v>
      </c>
      <c r="F345" s="7" t="n">
        <v>63.75</v>
      </c>
      <c r="G345" s="3" t="n">
        <f aca="false">E345+F345</f>
        <v>127.5</v>
      </c>
      <c r="H345" s="2" t="n">
        <v>0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/>
      <c r="R345" s="2"/>
      <c r="S345" s="2" t="s">
        <v>783</v>
      </c>
    </row>
    <row r="346" customFormat="false" ht="15" hidden="false" customHeight="false" outlineLevel="0" collapsed="false">
      <c r="A346" s="2" t="s">
        <v>815</v>
      </c>
      <c r="B346" s="2" t="s">
        <v>816</v>
      </c>
      <c r="C346" s="5" t="n">
        <v>45747</v>
      </c>
      <c r="D346" s="6" t="n">
        <f aca="false">YEAR(C346)</f>
        <v>2025</v>
      </c>
      <c r="E346" s="7" t="n">
        <v>22.23</v>
      </c>
      <c r="F346" s="7" t="n">
        <v>111.675</v>
      </c>
      <c r="G346" s="3" t="n">
        <f aca="false">E346+F346</f>
        <v>133.905</v>
      </c>
      <c r="H346" s="2" t="n">
        <v>0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/>
      <c r="R346" s="2"/>
      <c r="S346" s="2" t="s">
        <v>783</v>
      </c>
    </row>
    <row r="347" customFormat="false" ht="15" hidden="false" customHeight="false" outlineLevel="0" collapsed="false">
      <c r="A347" s="2" t="s">
        <v>817</v>
      </c>
      <c r="B347" s="2" t="s">
        <v>818</v>
      </c>
      <c r="C347" s="5" t="n">
        <v>45761</v>
      </c>
      <c r="D347" s="6" t="n">
        <f aca="false">YEAR(C347)</f>
        <v>2025</v>
      </c>
      <c r="E347" s="7" t="n">
        <v>100.5003</v>
      </c>
      <c r="F347" s="7" t="n">
        <v>904.5007</v>
      </c>
      <c r="G347" s="3" t="n">
        <f aca="false">E347+F347</f>
        <v>1005.001</v>
      </c>
      <c r="H347" s="2" t="n">
        <v>0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1</v>
      </c>
      <c r="N347" s="2" t="n">
        <v>0</v>
      </c>
      <c r="O347" s="2" t="n">
        <v>0</v>
      </c>
      <c r="P347" s="2" t="n">
        <v>0</v>
      </c>
      <c r="Q347" s="2"/>
      <c r="R347" s="2"/>
      <c r="S347" s="2" t="s">
        <v>783</v>
      </c>
    </row>
    <row r="348" customFormat="false" ht="15" hidden="false" customHeight="false" outlineLevel="0" collapsed="false">
      <c r="A348" s="2" t="s">
        <v>819</v>
      </c>
      <c r="B348" s="2" t="s">
        <v>820</v>
      </c>
      <c r="C348" s="5" t="n">
        <v>45762</v>
      </c>
      <c r="D348" s="6" t="n">
        <f aca="false">YEAR(C348)</f>
        <v>2025</v>
      </c>
      <c r="E348" s="7" t="n">
        <v>712.8867</v>
      </c>
      <c r="F348" s="7" t="n">
        <v>1172.69</v>
      </c>
      <c r="G348" s="3" t="n">
        <f aca="false">E348+F348</f>
        <v>1885.5767</v>
      </c>
      <c r="H348" s="2" t="n">
        <v>1</v>
      </c>
      <c r="I348" s="2" t="n">
        <v>0</v>
      </c>
      <c r="J348" s="2" t="n">
        <v>1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/>
      <c r="R348" s="2"/>
      <c r="S348" s="2" t="s">
        <v>783</v>
      </c>
    </row>
    <row r="349" customFormat="false" ht="15" hidden="false" customHeight="false" outlineLevel="0" collapsed="false">
      <c r="A349" s="2" t="s">
        <v>821</v>
      </c>
      <c r="B349" s="2" t="s">
        <v>822</v>
      </c>
      <c r="C349" s="5" t="n">
        <v>45784</v>
      </c>
      <c r="D349" s="6" t="n">
        <f aca="false">YEAR(C349)</f>
        <v>2025</v>
      </c>
      <c r="E349" s="7" t="n">
        <v>46.8</v>
      </c>
      <c r="F349" s="7" t="n">
        <v>187.2</v>
      </c>
      <c r="G349" s="3" t="n">
        <f aca="false">E349+F349</f>
        <v>234</v>
      </c>
      <c r="H349" s="2" t="n">
        <v>0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/>
      <c r="R349" s="2"/>
      <c r="S349" s="2" t="s">
        <v>783</v>
      </c>
    </row>
    <row r="350" customFormat="false" ht="15" hidden="false" customHeight="false" outlineLevel="0" collapsed="false">
      <c r="A350" s="2" t="s">
        <v>823</v>
      </c>
      <c r="B350" s="2" t="s">
        <v>824</v>
      </c>
      <c r="C350" s="5" t="n">
        <v>45785</v>
      </c>
      <c r="D350" s="6" t="n">
        <f aca="false">YEAR(C350)</f>
        <v>2025</v>
      </c>
      <c r="E350" s="7" t="n">
        <v>136.3854</v>
      </c>
      <c r="F350" s="7" t="n">
        <v>177.2986</v>
      </c>
      <c r="G350" s="3" t="n">
        <f aca="false">E350+F350</f>
        <v>313.684</v>
      </c>
      <c r="H350" s="2" t="n">
        <v>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/>
      <c r="R350" s="2"/>
      <c r="S350" s="2" t="s">
        <v>783</v>
      </c>
    </row>
    <row r="351" customFormat="false" ht="15" hidden="false" customHeight="false" outlineLevel="0" collapsed="false">
      <c r="A351" s="2" t="s">
        <v>825</v>
      </c>
      <c r="B351" s="2" t="s">
        <v>826</v>
      </c>
      <c r="C351" s="5" t="n">
        <v>45785</v>
      </c>
      <c r="D351" s="6" t="n">
        <f aca="false">YEAR(C351)</f>
        <v>2025</v>
      </c>
      <c r="E351" s="7" t="n">
        <v>140.5041</v>
      </c>
      <c r="F351" s="7" t="n">
        <v>1264.5213</v>
      </c>
      <c r="G351" s="3" t="n">
        <f aca="false">E351+F351</f>
        <v>1405.0254</v>
      </c>
      <c r="H351" s="2" t="n">
        <v>0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1</v>
      </c>
      <c r="N351" s="2" t="n">
        <v>0</v>
      </c>
      <c r="O351" s="2" t="n">
        <v>0</v>
      </c>
      <c r="P351" s="2" t="n">
        <v>0</v>
      </c>
      <c r="Q351" s="2"/>
      <c r="R351" s="2"/>
      <c r="S351" s="2" t="s">
        <v>783</v>
      </c>
    </row>
    <row r="352" customFormat="false" ht="15" hidden="false" customHeight="false" outlineLevel="0" collapsed="false">
      <c r="A352" s="2" t="s">
        <v>827</v>
      </c>
      <c r="B352" s="2" t="s">
        <v>828</v>
      </c>
      <c r="C352" s="5" t="n">
        <v>45793</v>
      </c>
      <c r="D352" s="6" t="n">
        <f aca="false">YEAR(C352)</f>
        <v>2025</v>
      </c>
      <c r="E352" s="7" t="n">
        <v>605.2686</v>
      </c>
      <c r="F352" s="7" t="n">
        <v>605.2686</v>
      </c>
      <c r="G352" s="3" t="n">
        <f aca="false">E352+F352</f>
        <v>1210.5372</v>
      </c>
      <c r="H352" s="2" t="n">
        <v>0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/>
      <c r="R352" s="2"/>
      <c r="S352" s="2" t="s">
        <v>783</v>
      </c>
    </row>
    <row r="353" customFormat="false" ht="15" hidden="false" customHeight="false" outlineLevel="0" collapsed="false">
      <c r="A353" s="2" t="s">
        <v>829</v>
      </c>
      <c r="B353" s="2" t="s">
        <v>830</v>
      </c>
      <c r="C353" s="5" t="n">
        <v>45797</v>
      </c>
      <c r="D353" s="6" t="n">
        <f aca="false">YEAR(C353)</f>
        <v>2025</v>
      </c>
      <c r="E353" s="7" t="n">
        <v>2674.2892</v>
      </c>
      <c r="F353" s="7" t="n">
        <v>38331.4347</v>
      </c>
      <c r="G353" s="3" t="n">
        <f aca="false">E353+F353</f>
        <v>41005.7239</v>
      </c>
      <c r="H353" s="2" t="n">
        <v>0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/>
      <c r="R353" s="2" t="s">
        <v>114</v>
      </c>
      <c r="S353" s="2" t="s">
        <v>783</v>
      </c>
    </row>
    <row r="354" customFormat="false" ht="15" hidden="false" customHeight="false" outlineLevel="0" collapsed="false">
      <c r="A354" s="2" t="s">
        <v>831</v>
      </c>
      <c r="B354" s="2" t="s">
        <v>832</v>
      </c>
      <c r="C354" s="5" t="n">
        <v>45800</v>
      </c>
      <c r="D354" s="6" t="n">
        <f aca="false">YEAR(C354)</f>
        <v>2025</v>
      </c>
      <c r="E354" s="7" t="n">
        <v>136.8572</v>
      </c>
      <c r="F354" s="7" t="n">
        <v>949.3888</v>
      </c>
      <c r="G354" s="3" t="n">
        <f aca="false">E354+F354</f>
        <v>1086.246</v>
      </c>
      <c r="H354" s="2" t="n">
        <v>1</v>
      </c>
      <c r="I354" s="2" t="n">
        <v>0</v>
      </c>
      <c r="J354" s="2" t="n">
        <v>1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/>
      <c r="R354" s="2"/>
      <c r="S354" s="2" t="s">
        <v>783</v>
      </c>
    </row>
    <row r="355" customFormat="false" ht="15" hidden="false" customHeight="false" outlineLevel="0" collapsed="false">
      <c r="A355" s="2" t="s">
        <v>833</v>
      </c>
      <c r="B355" s="2" t="s">
        <v>834</v>
      </c>
      <c r="C355" s="5" t="n">
        <v>45800</v>
      </c>
      <c r="D355" s="6" t="n">
        <f aca="false">YEAR(C355)</f>
        <v>2025</v>
      </c>
      <c r="E355" s="7" t="n">
        <v>2126.3728</v>
      </c>
      <c r="F355" s="7" t="n">
        <v>9247.2315</v>
      </c>
      <c r="G355" s="3" t="n">
        <f aca="false">E355+F355</f>
        <v>11373.6043</v>
      </c>
      <c r="H355" s="2" t="n">
        <v>0</v>
      </c>
      <c r="I355" s="2" t="n">
        <v>0</v>
      </c>
      <c r="J355" s="2" t="n">
        <v>1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/>
      <c r="R355" s="2"/>
      <c r="S355" s="2" t="s">
        <v>783</v>
      </c>
    </row>
    <row r="356" customFormat="false" ht="15" hidden="false" customHeight="false" outlineLevel="0" collapsed="false">
      <c r="A356" s="2" t="s">
        <v>835</v>
      </c>
      <c r="B356" s="2" t="s">
        <v>836</v>
      </c>
      <c r="C356" s="5" t="n">
        <v>45804</v>
      </c>
      <c r="D356" s="6" t="n">
        <f aca="false">YEAR(C356)</f>
        <v>2025</v>
      </c>
      <c r="E356" s="7" t="n">
        <v>150.4152</v>
      </c>
      <c r="F356" s="7" t="n">
        <v>150.4074</v>
      </c>
      <c r="G356" s="3" t="n">
        <f aca="false">E356+F356</f>
        <v>300.8226</v>
      </c>
      <c r="H356" s="2" t="n">
        <v>1</v>
      </c>
      <c r="I356" s="2" t="n">
        <v>0</v>
      </c>
      <c r="J356" s="2" t="n">
        <v>1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/>
      <c r="R356" s="2"/>
      <c r="S356" s="2" t="s">
        <v>783</v>
      </c>
    </row>
    <row r="357" customFormat="false" ht="15" hidden="false" customHeight="false" outlineLevel="0" collapsed="false">
      <c r="A357" s="2" t="s">
        <v>837</v>
      </c>
      <c r="B357" s="2" t="s">
        <v>838</v>
      </c>
      <c r="C357" s="5" t="n">
        <v>45804</v>
      </c>
      <c r="D357" s="6" t="n">
        <f aca="false">YEAR(C357)</f>
        <v>2025</v>
      </c>
      <c r="E357" s="7" t="n">
        <v>156.4646</v>
      </c>
      <c r="F357" s="7" t="n">
        <v>365.0842</v>
      </c>
      <c r="G357" s="3" t="n">
        <f aca="false">E357+F357</f>
        <v>521.5488</v>
      </c>
      <c r="H357" s="2" t="n">
        <v>0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/>
      <c r="R357" s="2"/>
      <c r="S357" s="2" t="s">
        <v>783</v>
      </c>
    </row>
    <row r="358" customFormat="false" ht="15" hidden="false" customHeight="false" outlineLevel="0" collapsed="false">
      <c r="A358" s="2" t="s">
        <v>839</v>
      </c>
      <c r="B358" s="2" t="s">
        <v>840</v>
      </c>
      <c r="C358" s="5" t="n">
        <v>45807</v>
      </c>
      <c r="D358" s="6" t="n">
        <f aca="false">YEAR(C358)</f>
        <v>2025</v>
      </c>
      <c r="E358" s="7" t="n">
        <v>98.4079</v>
      </c>
      <c r="F358" s="7" t="n">
        <v>98.4079</v>
      </c>
      <c r="G358" s="3" t="n">
        <f aca="false">E358+F358</f>
        <v>196.8158</v>
      </c>
      <c r="H358" s="2" t="n">
        <v>0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/>
      <c r="R358" s="2"/>
      <c r="S358" s="2" t="s">
        <v>783</v>
      </c>
    </row>
    <row r="359" customFormat="false" ht="15" hidden="false" customHeight="false" outlineLevel="0" collapsed="false">
      <c r="A359" s="2" t="s">
        <v>841</v>
      </c>
      <c r="B359" s="2" t="s">
        <v>842</v>
      </c>
      <c r="C359" s="5" t="n">
        <v>45818</v>
      </c>
      <c r="D359" s="6" t="n">
        <f aca="false">YEAR(C359)</f>
        <v>2025</v>
      </c>
      <c r="E359" s="7" t="n">
        <v>121.173</v>
      </c>
      <c r="F359" s="7" t="n">
        <v>121.173</v>
      </c>
      <c r="G359" s="3" t="n">
        <f aca="false">E359+F359</f>
        <v>242.346</v>
      </c>
      <c r="H359" s="2" t="n">
        <v>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/>
      <c r="R359" s="2"/>
      <c r="S359" s="2" t="s">
        <v>783</v>
      </c>
    </row>
    <row r="360" customFormat="false" ht="15" hidden="false" customHeight="false" outlineLevel="0" collapsed="false">
      <c r="A360" s="2" t="s">
        <v>843</v>
      </c>
      <c r="B360" s="2" t="s">
        <v>844</v>
      </c>
      <c r="C360" s="5" t="n">
        <v>45818</v>
      </c>
      <c r="D360" s="6" t="n">
        <f aca="false">YEAR(C360)</f>
        <v>2025</v>
      </c>
      <c r="E360" s="7" t="n">
        <v>31.4194</v>
      </c>
      <c r="F360" s="7" t="n">
        <v>168.6447</v>
      </c>
      <c r="G360" s="3" t="n">
        <f aca="false">E360+F360</f>
        <v>200.0641</v>
      </c>
      <c r="H360" s="2" t="n">
        <v>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/>
      <c r="R360" s="2"/>
      <c r="S360" s="2" t="s">
        <v>783</v>
      </c>
    </row>
    <row r="361" customFormat="false" ht="15" hidden="false" customHeight="false" outlineLevel="0" collapsed="false">
      <c r="A361" s="2" t="s">
        <v>845</v>
      </c>
      <c r="B361" s="2" t="s">
        <v>846</v>
      </c>
      <c r="C361" s="5" t="n">
        <v>45818</v>
      </c>
      <c r="D361" s="6" t="n">
        <f aca="false">YEAR(C361)</f>
        <v>2025</v>
      </c>
      <c r="E361" s="7" t="n">
        <v>24.29</v>
      </c>
      <c r="F361" s="7" t="n">
        <v>159.71</v>
      </c>
      <c r="G361" s="3" t="n">
        <f aca="false">E361+F361</f>
        <v>184</v>
      </c>
      <c r="H361" s="2" t="n">
        <v>0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/>
      <c r="R361" s="2"/>
      <c r="S361" s="2" t="s">
        <v>783</v>
      </c>
    </row>
    <row r="362" customFormat="false" ht="15" hidden="false" customHeight="false" outlineLevel="0" collapsed="false">
      <c r="A362" s="2" t="s">
        <v>847</v>
      </c>
      <c r="B362" s="2" t="s">
        <v>848</v>
      </c>
      <c r="C362" s="5" t="n">
        <v>45827</v>
      </c>
      <c r="D362" s="6" t="n">
        <f aca="false">YEAR(C362)</f>
        <v>2025</v>
      </c>
      <c r="E362" s="7" t="n">
        <v>2006.6604</v>
      </c>
      <c r="F362" s="7" t="n">
        <v>8564.7853</v>
      </c>
      <c r="G362" s="3" t="n">
        <f aca="false">E362+F362</f>
        <v>10571.4457</v>
      </c>
      <c r="H362" s="2" t="n">
        <v>0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/>
      <c r="R362" s="2"/>
      <c r="S362" s="2" t="s">
        <v>783</v>
      </c>
    </row>
    <row r="363" customFormat="false" ht="15" hidden="false" customHeight="false" outlineLevel="0" collapsed="false">
      <c r="A363" s="2" t="s">
        <v>849</v>
      </c>
      <c r="B363" s="2" t="s">
        <v>850</v>
      </c>
      <c r="C363" s="5" t="n">
        <v>45831</v>
      </c>
      <c r="D363" s="6" t="n">
        <f aca="false">YEAR(C363)</f>
        <v>2025</v>
      </c>
      <c r="E363" s="7" t="n">
        <v>68.526</v>
      </c>
      <c r="F363" s="7" t="n">
        <v>493.1804</v>
      </c>
      <c r="G363" s="3" t="n">
        <f aca="false">E363+F363</f>
        <v>561.7064</v>
      </c>
      <c r="H363" s="2" t="n">
        <v>0</v>
      </c>
      <c r="I363" s="2" t="n">
        <v>0</v>
      </c>
      <c r="J363" s="2" t="n">
        <v>1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/>
      <c r="R363" s="2"/>
      <c r="S363" s="2" t="s">
        <v>783</v>
      </c>
    </row>
    <row r="364" customFormat="false" ht="15" hidden="false" customHeight="false" outlineLevel="0" collapsed="false">
      <c r="A364" s="2" t="s">
        <v>851</v>
      </c>
      <c r="B364" s="2" t="s">
        <v>852</v>
      </c>
      <c r="C364" s="5" t="n">
        <v>45831</v>
      </c>
      <c r="D364" s="6" t="n">
        <f aca="false">YEAR(C364)</f>
        <v>2025</v>
      </c>
      <c r="E364" s="7" t="n">
        <v>40.1996</v>
      </c>
      <c r="F364" s="7" t="n">
        <v>160.7456</v>
      </c>
      <c r="G364" s="3" t="n">
        <f aca="false">E364+F364</f>
        <v>200.9452</v>
      </c>
      <c r="H364" s="2" t="n">
        <v>1</v>
      </c>
      <c r="I364" s="2" t="n">
        <v>0</v>
      </c>
      <c r="J364" s="2" t="n">
        <v>1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/>
      <c r="R364" s="2"/>
      <c r="S364" s="2" t="s">
        <v>783</v>
      </c>
    </row>
    <row r="365" customFormat="false" ht="15" hidden="false" customHeight="false" outlineLevel="0" collapsed="false">
      <c r="A365" s="2" t="s">
        <v>853</v>
      </c>
      <c r="B365" s="2" t="s">
        <v>854</v>
      </c>
      <c r="C365" s="5" t="n">
        <v>45831</v>
      </c>
      <c r="D365" s="6" t="n">
        <f aca="false">YEAR(C365)</f>
        <v>2025</v>
      </c>
      <c r="E365" s="7" t="n">
        <v>2474.0328</v>
      </c>
      <c r="F365" s="7" t="n">
        <v>8262.3323</v>
      </c>
      <c r="G365" s="3" t="n">
        <f aca="false">E365+F365</f>
        <v>10736.3651</v>
      </c>
      <c r="H365" s="2" t="n">
        <v>0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/>
      <c r="R365" s="2"/>
      <c r="S365" s="2" t="s">
        <v>783</v>
      </c>
    </row>
    <row r="366" customFormat="false" ht="15" hidden="false" customHeight="false" outlineLevel="0" collapsed="false">
      <c r="A366" s="2" t="s">
        <v>855</v>
      </c>
      <c r="B366" s="2" t="s">
        <v>856</v>
      </c>
      <c r="C366" s="5" t="n">
        <v>45833</v>
      </c>
      <c r="D366" s="6" t="n">
        <f aca="false">YEAR(C366)</f>
        <v>2025</v>
      </c>
      <c r="E366" s="7" t="n">
        <v>555.856</v>
      </c>
      <c r="F366" s="7" t="n">
        <v>1296.9945</v>
      </c>
      <c r="G366" s="3" t="n">
        <f aca="false">E366+F366</f>
        <v>1852.8505</v>
      </c>
      <c r="H366" s="2" t="n">
        <v>0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/>
      <c r="R366" s="2"/>
      <c r="S366" s="2" t="s">
        <v>783</v>
      </c>
    </row>
    <row r="367" customFormat="false" ht="15" hidden="false" customHeight="false" outlineLevel="0" collapsed="false">
      <c r="A367" s="2" t="s">
        <v>857</v>
      </c>
      <c r="B367" s="2" t="s">
        <v>858</v>
      </c>
      <c r="C367" s="5" t="n">
        <v>45833</v>
      </c>
      <c r="D367" s="6" t="n">
        <f aca="false">YEAR(C367)</f>
        <v>2025</v>
      </c>
      <c r="E367" s="7" t="n">
        <v>97.5546</v>
      </c>
      <c r="F367" s="7" t="n">
        <v>97.5546</v>
      </c>
      <c r="G367" s="3" t="n">
        <f aca="false">E367+F367</f>
        <v>195.1092</v>
      </c>
      <c r="H367" s="2" t="n">
        <v>0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/>
      <c r="R367" s="2"/>
      <c r="S367" s="2" t="s">
        <v>783</v>
      </c>
    </row>
    <row r="368" customFormat="false" ht="15" hidden="false" customHeight="false" outlineLevel="0" collapsed="false">
      <c r="A368" s="2" t="s">
        <v>859</v>
      </c>
      <c r="B368" s="2" t="s">
        <v>860</v>
      </c>
      <c r="C368" s="5" t="n">
        <v>45834</v>
      </c>
      <c r="D368" s="6" t="n">
        <f aca="false">YEAR(C368)</f>
        <v>2025</v>
      </c>
      <c r="E368" s="7" t="n">
        <v>288.0576</v>
      </c>
      <c r="F368" s="7" t="n">
        <v>672.1344</v>
      </c>
      <c r="G368" s="3" t="n">
        <f aca="false">E368+F368</f>
        <v>960.192</v>
      </c>
      <c r="H368" s="2" t="n">
        <v>0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/>
      <c r="R368" s="2"/>
      <c r="S368" s="2" t="s">
        <v>783</v>
      </c>
    </row>
    <row r="369" customFormat="false" ht="15" hidden="false" customHeight="false" outlineLevel="0" collapsed="false">
      <c r="A369" s="2" t="s">
        <v>861</v>
      </c>
      <c r="B369" s="2" t="s">
        <v>862</v>
      </c>
      <c r="C369" s="5" t="n">
        <v>45834</v>
      </c>
      <c r="D369" s="6" t="n">
        <f aca="false">YEAR(C369)</f>
        <v>2025</v>
      </c>
      <c r="E369" s="7" t="n">
        <v>313.9318</v>
      </c>
      <c r="F369" s="7" t="n">
        <v>490.1212</v>
      </c>
      <c r="G369" s="3" t="n">
        <f aca="false">E369+F369</f>
        <v>804.053</v>
      </c>
      <c r="H369" s="2" t="n">
        <v>0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/>
      <c r="R369" s="2"/>
      <c r="S369" s="2" t="s">
        <v>783</v>
      </c>
    </row>
    <row r="370" customFormat="false" ht="15" hidden="false" customHeight="false" outlineLevel="0" collapsed="false">
      <c r="A370" s="2" t="s">
        <v>863</v>
      </c>
      <c r="B370" s="2" t="s">
        <v>864</v>
      </c>
      <c r="C370" s="5" t="n">
        <v>45834</v>
      </c>
      <c r="D370" s="6" t="n">
        <f aca="false">YEAR(C370)</f>
        <v>2025</v>
      </c>
      <c r="E370" s="7" t="n">
        <v>561.696</v>
      </c>
      <c r="F370" s="7" t="n">
        <v>923.988</v>
      </c>
      <c r="G370" s="3" t="n">
        <f aca="false">E370+F370</f>
        <v>1485.684</v>
      </c>
      <c r="H370" s="2" t="n">
        <v>0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/>
      <c r="R370" s="2"/>
      <c r="S370" s="2" t="s">
        <v>783</v>
      </c>
    </row>
    <row r="371" customFormat="false" ht="15" hidden="false" customHeight="false" outlineLevel="0" collapsed="false">
      <c r="A371" s="2" t="s">
        <v>865</v>
      </c>
      <c r="B371" s="2" t="s">
        <v>866</v>
      </c>
      <c r="C371" s="5" t="n">
        <v>45838</v>
      </c>
      <c r="D371" s="6" t="n">
        <f aca="false">YEAR(C371)</f>
        <v>2025</v>
      </c>
      <c r="E371" s="7" t="n">
        <v>579.1685</v>
      </c>
      <c r="F371" s="7" t="n">
        <v>752.9185</v>
      </c>
      <c r="G371" s="3" t="n">
        <f aca="false">E371+F371</f>
        <v>1332.087</v>
      </c>
      <c r="H371" s="2" t="n">
        <v>0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/>
      <c r="R371" s="2"/>
      <c r="S371" s="2" t="s">
        <v>783</v>
      </c>
    </row>
    <row r="372" customFormat="false" ht="15" hidden="false" customHeight="false" outlineLevel="0" collapsed="false">
      <c r="A372" s="2" t="s">
        <v>867</v>
      </c>
      <c r="B372" s="2" t="s">
        <v>868</v>
      </c>
      <c r="C372" s="5" t="n">
        <v>45838</v>
      </c>
      <c r="D372" s="6" t="n">
        <f aca="false">YEAR(C372)</f>
        <v>2025</v>
      </c>
      <c r="E372" s="7" t="n">
        <v>257.04</v>
      </c>
      <c r="F372" s="7" t="n">
        <v>257.04</v>
      </c>
      <c r="G372" s="3" t="n">
        <f aca="false">E372+F372</f>
        <v>514.08</v>
      </c>
      <c r="H372" s="2" t="n">
        <v>0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/>
      <c r="R372" s="2"/>
      <c r="S372" s="2" t="s">
        <v>783</v>
      </c>
    </row>
    <row r="373" customFormat="false" ht="15" hidden="false" customHeight="false" outlineLevel="0" collapsed="false">
      <c r="A373" s="2" t="s">
        <v>869</v>
      </c>
      <c r="B373" s="2" t="s">
        <v>870</v>
      </c>
      <c r="C373" s="5" t="n">
        <v>45838</v>
      </c>
      <c r="D373" s="6" t="n">
        <f aca="false">YEAR(C373)</f>
        <v>2025</v>
      </c>
      <c r="E373" s="7" t="n">
        <v>128.002</v>
      </c>
      <c r="F373" s="7" t="n">
        <v>239.9976</v>
      </c>
      <c r="G373" s="3" t="n">
        <f aca="false">E373+F373</f>
        <v>367.9996</v>
      </c>
      <c r="H373" s="2" t="n">
        <v>0</v>
      </c>
      <c r="I373" s="2" t="n">
        <v>0</v>
      </c>
      <c r="J373" s="2" t="n">
        <v>0</v>
      </c>
      <c r="K373" s="2" t="n">
        <v>1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/>
      <c r="R373" s="2"/>
      <c r="S373" s="2" t="s">
        <v>783</v>
      </c>
    </row>
    <row r="374" customFormat="false" ht="15" hidden="false" customHeight="false" outlineLevel="0" collapsed="false">
      <c r="A374" s="2" t="s">
        <v>871</v>
      </c>
      <c r="B374" s="2" t="s">
        <v>872</v>
      </c>
      <c r="C374" s="5" t="n">
        <v>45841</v>
      </c>
      <c r="D374" s="6" t="n">
        <f aca="false">YEAR(C374)</f>
        <v>2025</v>
      </c>
      <c r="E374" s="7" t="n">
        <v>122.3666</v>
      </c>
      <c r="F374" s="7" t="n">
        <v>489.5116</v>
      </c>
      <c r="G374" s="3" t="n">
        <f aca="false">E374+F374</f>
        <v>611.8782</v>
      </c>
      <c r="H374" s="2" t="n">
        <v>1</v>
      </c>
      <c r="I374" s="2" t="n">
        <v>0</v>
      </c>
      <c r="J374" s="2" t="n">
        <v>1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/>
      <c r="R374" s="2"/>
      <c r="S374" s="2" t="s">
        <v>783</v>
      </c>
    </row>
    <row r="375" customFormat="false" ht="15" hidden="false" customHeight="false" outlineLevel="0" collapsed="false">
      <c r="A375" s="2" t="s">
        <v>873</v>
      </c>
      <c r="B375" s="2" t="s">
        <v>874</v>
      </c>
      <c r="C375" s="5" t="n">
        <v>45842</v>
      </c>
      <c r="D375" s="6" t="n">
        <f aca="false">YEAR(C375)</f>
        <v>2025</v>
      </c>
      <c r="E375" s="7" t="n">
        <v>719.91</v>
      </c>
      <c r="F375" s="7" t="n">
        <v>1679.772</v>
      </c>
      <c r="G375" s="3" t="n">
        <f aca="false">E375+F375</f>
        <v>2399.682</v>
      </c>
      <c r="H375" s="2" t="n">
        <v>0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/>
      <c r="R375" s="2"/>
      <c r="S375" s="2" t="s">
        <v>783</v>
      </c>
    </row>
    <row r="376" customFormat="false" ht="15" hidden="false" customHeight="false" outlineLevel="0" collapsed="false">
      <c r="A376" s="2" t="s">
        <v>875</v>
      </c>
      <c r="B376" s="2" t="s">
        <v>876</v>
      </c>
      <c r="C376" s="5" t="n">
        <v>45845</v>
      </c>
      <c r="D376" s="6" t="n">
        <f aca="false">YEAR(C376)</f>
        <v>2025</v>
      </c>
      <c r="E376" s="7" t="n">
        <v>1041.3026</v>
      </c>
      <c r="F376" s="7" t="n">
        <v>2619.7504</v>
      </c>
      <c r="G376" s="3" t="n">
        <f aca="false">E376+F376</f>
        <v>3661.053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/>
      <c r="R376" s="2"/>
      <c r="S376" s="2" t="s">
        <v>783</v>
      </c>
    </row>
    <row r="377" customFormat="false" ht="15" hidden="false" customHeight="false" outlineLevel="0" collapsed="false">
      <c r="A377" s="2" t="s">
        <v>877</v>
      </c>
      <c r="B377" s="2" t="s">
        <v>878</v>
      </c>
      <c r="C377" s="5" t="n">
        <v>45847</v>
      </c>
      <c r="D377" s="6" t="n">
        <f aca="false">YEAR(C377)</f>
        <v>2025</v>
      </c>
      <c r="E377" s="7" t="n">
        <v>1178.9669</v>
      </c>
      <c r="F377" s="7" t="n">
        <v>1812.7032</v>
      </c>
      <c r="G377" s="3" t="n">
        <f aca="false">E377+F377</f>
        <v>2991.6701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/>
      <c r="R377" s="2"/>
      <c r="S377" s="2" t="s">
        <v>783</v>
      </c>
    </row>
    <row r="378" customFormat="false" ht="15" hidden="false" customHeight="false" outlineLevel="0" collapsed="false">
      <c r="A378" s="2" t="s">
        <v>879</v>
      </c>
      <c r="B378" s="2" t="s">
        <v>880</v>
      </c>
      <c r="C378" s="5" t="n">
        <v>45847</v>
      </c>
      <c r="D378" s="6" t="n">
        <f aca="false">YEAR(C378)</f>
        <v>2025</v>
      </c>
      <c r="E378" s="7" t="n">
        <v>41.2462</v>
      </c>
      <c r="F378" s="7" t="n">
        <v>371.2158</v>
      </c>
      <c r="G378" s="3" t="n">
        <f aca="false">E378+F378</f>
        <v>412.462</v>
      </c>
      <c r="H378" s="2" t="n">
        <v>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/>
      <c r="R378" s="2"/>
      <c r="S378" s="2" t="s">
        <v>783</v>
      </c>
    </row>
    <row r="379" customFormat="false" ht="15" hidden="false" customHeight="false" outlineLevel="0" collapsed="false">
      <c r="A379" s="2" t="s">
        <v>881</v>
      </c>
      <c r="B379" s="2" t="s">
        <v>882</v>
      </c>
      <c r="C379" s="5" t="n">
        <v>45847</v>
      </c>
      <c r="D379" s="6" t="n">
        <f aca="false">YEAR(C379)</f>
        <v>2025</v>
      </c>
      <c r="E379" s="7" t="n">
        <v>982.0509</v>
      </c>
      <c r="F379" s="7" t="n">
        <v>1615.4471</v>
      </c>
      <c r="G379" s="3" t="n">
        <f aca="false">E379+F379</f>
        <v>2597.498</v>
      </c>
      <c r="H379" s="2" t="n">
        <v>0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/>
      <c r="R379" s="2"/>
      <c r="S379" s="2" t="s">
        <v>783</v>
      </c>
    </row>
    <row r="380" customFormat="false" ht="15" hidden="false" customHeight="false" outlineLevel="0" collapsed="false">
      <c r="A380" s="2" t="s">
        <v>883</v>
      </c>
      <c r="B380" s="2" t="s">
        <v>884</v>
      </c>
      <c r="C380" s="5" t="n">
        <v>45847</v>
      </c>
      <c r="D380" s="6" t="n">
        <f aca="false">YEAR(C380)</f>
        <v>2025</v>
      </c>
      <c r="E380" s="7" t="n">
        <v>2145.5236</v>
      </c>
      <c r="F380" s="7" t="n">
        <v>3337.4771</v>
      </c>
      <c r="G380" s="3" t="n">
        <f aca="false">E380+F380</f>
        <v>5483.0007</v>
      </c>
      <c r="H380" s="2" t="n">
        <v>0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/>
      <c r="R380" s="2"/>
      <c r="S380" s="2" t="s">
        <v>783</v>
      </c>
    </row>
    <row r="381" customFormat="false" ht="15" hidden="false" customHeight="false" outlineLevel="0" collapsed="false">
      <c r="A381" s="2" t="s">
        <v>885</v>
      </c>
      <c r="B381" s="2" t="s">
        <v>886</v>
      </c>
      <c r="C381" s="5" t="n">
        <v>45847</v>
      </c>
      <c r="D381" s="6" t="n">
        <f aca="false">YEAR(C381)</f>
        <v>2025</v>
      </c>
      <c r="E381" s="7" t="n">
        <v>38.99</v>
      </c>
      <c r="F381" s="7" t="n">
        <v>178.246</v>
      </c>
      <c r="G381" s="3" t="n">
        <f aca="false">E381+F381</f>
        <v>217.236</v>
      </c>
      <c r="H381" s="2" t="n">
        <v>0</v>
      </c>
      <c r="I381" s="2" t="n">
        <v>0</v>
      </c>
      <c r="J381" s="2" t="n">
        <v>1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/>
      <c r="R381" s="2"/>
      <c r="S381" s="2" t="s">
        <v>783</v>
      </c>
    </row>
    <row r="382" customFormat="false" ht="15" hidden="false" customHeight="false" outlineLevel="0" collapsed="false">
      <c r="A382" s="2" t="s">
        <v>887</v>
      </c>
      <c r="B382" s="2" t="s">
        <v>888</v>
      </c>
      <c r="C382" s="5" t="n">
        <v>45863</v>
      </c>
      <c r="D382" s="6" t="n">
        <f aca="false">YEAR(C382)</f>
        <v>2025</v>
      </c>
      <c r="E382" s="7" t="n">
        <v>560.952</v>
      </c>
      <c r="F382" s="7" t="n">
        <v>922.761</v>
      </c>
      <c r="G382" s="3" t="n">
        <f aca="false">E382+F382</f>
        <v>1483.713</v>
      </c>
      <c r="H382" s="2" t="n">
        <v>1</v>
      </c>
      <c r="I382" s="2" t="n">
        <v>0</v>
      </c>
      <c r="J382" s="2" t="n">
        <v>1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/>
      <c r="R382" s="2"/>
      <c r="S382" s="2" t="s">
        <v>783</v>
      </c>
    </row>
    <row r="383" customFormat="false" ht="15" hidden="false" customHeight="false" outlineLevel="0" collapsed="false">
      <c r="A383" s="2" t="s">
        <v>889</v>
      </c>
      <c r="B383" s="2" t="s">
        <v>890</v>
      </c>
      <c r="C383" s="5" t="n">
        <v>45876</v>
      </c>
      <c r="D383" s="6" t="n">
        <f aca="false">YEAR(C383)</f>
        <v>2025</v>
      </c>
      <c r="E383" s="7" t="n">
        <v>0</v>
      </c>
      <c r="F383" s="7" t="n">
        <v>0</v>
      </c>
      <c r="G383" s="3" t="n">
        <f aca="false">E383+F383</f>
        <v>0</v>
      </c>
      <c r="H383" s="2" t="n">
        <v>0</v>
      </c>
      <c r="I383" s="2" t="n">
        <v>0</v>
      </c>
      <c r="J383" s="2" t="n">
        <v>1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/>
      <c r="R383" s="2"/>
      <c r="S383" s="2" t="s">
        <v>783</v>
      </c>
    </row>
    <row r="384" customFormat="false" ht="15" hidden="false" customHeight="false" outlineLevel="0" collapsed="false">
      <c r="A384" s="2" t="s">
        <v>891</v>
      </c>
      <c r="B384" s="2" t="s">
        <v>892</v>
      </c>
      <c r="C384" s="5" t="n">
        <v>45880</v>
      </c>
      <c r="D384" s="6" t="n">
        <f aca="false">YEAR(C384)</f>
        <v>2025</v>
      </c>
      <c r="E384" s="7" t="n">
        <v>51.5484</v>
      </c>
      <c r="F384" s="7" t="n">
        <v>379.8611</v>
      </c>
      <c r="G384" s="3" t="n">
        <f aca="false">E384+F384</f>
        <v>431.4095</v>
      </c>
      <c r="H384" s="2" t="n">
        <v>1</v>
      </c>
      <c r="I384" s="2" t="n">
        <v>0</v>
      </c>
      <c r="J384" s="2" t="n">
        <v>1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/>
      <c r="R384" s="2"/>
      <c r="S384" s="2" t="s">
        <v>783</v>
      </c>
    </row>
    <row r="385" customFormat="false" ht="15" hidden="false" customHeight="false" outlineLevel="0" collapsed="false">
      <c r="A385" s="2" t="s">
        <v>893</v>
      </c>
      <c r="B385" s="2" t="s">
        <v>894</v>
      </c>
      <c r="C385" s="5" t="n">
        <v>45884</v>
      </c>
      <c r="D385" s="6" t="n">
        <f aca="false">YEAR(C385)</f>
        <v>2025</v>
      </c>
      <c r="E385" s="7" t="n">
        <v>68.2903</v>
      </c>
      <c r="F385" s="7" t="n">
        <v>614.5832</v>
      </c>
      <c r="G385" s="3" t="n">
        <f aca="false">E385+F385</f>
        <v>682.8735</v>
      </c>
      <c r="H385" s="2" t="n">
        <v>1</v>
      </c>
      <c r="I385" s="2" t="n">
        <v>0</v>
      </c>
      <c r="J385" s="2" t="n">
        <v>1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/>
      <c r="R385" s="2"/>
      <c r="S385" s="2" t="s">
        <v>783</v>
      </c>
    </row>
    <row r="386" customFormat="false" ht="15" hidden="false" customHeight="false" outlineLevel="0" collapsed="false">
      <c r="A386" s="2" t="s">
        <v>895</v>
      </c>
      <c r="B386" s="2" t="s">
        <v>896</v>
      </c>
      <c r="C386" s="5" t="n">
        <v>45889</v>
      </c>
      <c r="D386" s="6" t="n">
        <f aca="false">YEAR(C386)</f>
        <v>2025</v>
      </c>
      <c r="E386" s="7" t="n">
        <v>715.2308</v>
      </c>
      <c r="F386" s="7" t="n">
        <v>1634.8102</v>
      </c>
      <c r="G386" s="3" t="n">
        <f aca="false">E386+F386</f>
        <v>2350.041</v>
      </c>
      <c r="H386" s="2" t="n">
        <v>0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/>
      <c r="R386" s="2"/>
      <c r="S386" s="2" t="s">
        <v>783</v>
      </c>
    </row>
    <row r="387" customFormat="false" ht="15" hidden="false" customHeight="false" outlineLevel="0" collapsed="false">
      <c r="A387" s="2" t="s">
        <v>897</v>
      </c>
      <c r="B387" s="2" t="s">
        <v>898</v>
      </c>
      <c r="C387" s="5" t="n">
        <v>45895</v>
      </c>
      <c r="D387" s="6" t="n">
        <f aca="false">YEAR(C387)</f>
        <v>2025</v>
      </c>
      <c r="E387" s="7" t="n">
        <v>84.9706</v>
      </c>
      <c r="F387" s="7" t="n">
        <v>892.1401</v>
      </c>
      <c r="G387" s="3" t="n">
        <f aca="false">E387+F387</f>
        <v>977.1107</v>
      </c>
      <c r="H387" s="2" t="n">
        <v>0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/>
      <c r="R387" s="2"/>
      <c r="S387" s="2" t="s">
        <v>783</v>
      </c>
    </row>
    <row r="388" customFormat="false" ht="15" hidden="false" customHeight="false" outlineLevel="0" collapsed="false">
      <c r="A388" s="2" t="s">
        <v>899</v>
      </c>
      <c r="B388" s="2" t="s">
        <v>900</v>
      </c>
      <c r="C388" s="5" t="n">
        <v>45897</v>
      </c>
      <c r="D388" s="6" t="n">
        <f aca="false">YEAR(C388)</f>
        <v>2025</v>
      </c>
      <c r="E388" s="7" t="n">
        <v>119.9147</v>
      </c>
      <c r="F388" s="7" t="n">
        <v>1259.0629</v>
      </c>
      <c r="G388" s="3" t="n">
        <f aca="false">E388+F388</f>
        <v>1378.9776</v>
      </c>
      <c r="H388" s="2" t="n">
        <v>0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/>
      <c r="R388" s="2"/>
      <c r="S388" s="2" t="s">
        <v>783</v>
      </c>
    </row>
    <row r="389" customFormat="false" ht="15" hidden="false" customHeight="false" outlineLevel="0" collapsed="false">
      <c r="A389" s="2" t="s">
        <v>901</v>
      </c>
      <c r="B389" s="2" t="s">
        <v>902</v>
      </c>
      <c r="C389" s="5" t="n">
        <v>45902</v>
      </c>
      <c r="D389" s="6" t="n">
        <f aca="false">YEAR(C389)</f>
        <v>2025</v>
      </c>
      <c r="E389" s="7" t="n">
        <v>1452.5214</v>
      </c>
      <c r="F389" s="7" t="n">
        <v>2697.5358</v>
      </c>
      <c r="G389" s="3" t="n">
        <f aca="false">E389+F389</f>
        <v>4150.0572</v>
      </c>
      <c r="H389" s="2" t="n">
        <v>0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/>
      <c r="R389" s="2"/>
      <c r="S389" s="2" t="s">
        <v>783</v>
      </c>
    </row>
    <row r="390" customFormat="false" ht="15" hidden="false" customHeight="false" outlineLevel="0" collapsed="false">
      <c r="A390" s="2" t="s">
        <v>903</v>
      </c>
      <c r="B390" s="2" t="s">
        <v>904</v>
      </c>
      <c r="C390" s="5" t="n">
        <v>45909</v>
      </c>
      <c r="D390" s="6" t="n">
        <f aca="false">YEAR(C390)</f>
        <v>2025</v>
      </c>
      <c r="E390" s="7" t="n">
        <v>39.204</v>
      </c>
      <c r="F390" s="7" t="n">
        <v>408.3255</v>
      </c>
      <c r="G390" s="3" t="n">
        <f aca="false">E390+F390</f>
        <v>447.5295</v>
      </c>
      <c r="H390" s="2" t="n">
        <v>0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/>
      <c r="R390" s="2"/>
      <c r="S390" s="2" t="s">
        <v>783</v>
      </c>
    </row>
    <row r="391" customFormat="false" ht="15" hidden="false" customHeight="false" outlineLevel="0" collapsed="false">
      <c r="A391" s="2" t="s">
        <v>905</v>
      </c>
      <c r="B391" s="2" t="s">
        <v>906</v>
      </c>
      <c r="C391" s="5" t="n">
        <v>45916</v>
      </c>
      <c r="D391" s="6" t="n">
        <f aca="false">YEAR(C391)</f>
        <v>2025</v>
      </c>
      <c r="E391" s="7" t="n">
        <v>416.024</v>
      </c>
      <c r="F391" s="7" t="n">
        <v>4368.252</v>
      </c>
      <c r="G391" s="3" t="n">
        <f aca="false">E391+F391</f>
        <v>4784.276</v>
      </c>
      <c r="H391" s="2" t="n">
        <v>0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/>
      <c r="R391" s="2" t="s">
        <v>112</v>
      </c>
      <c r="S391" s="2" t="s">
        <v>783</v>
      </c>
    </row>
    <row r="392" customFormat="false" ht="15" hidden="false" customHeight="false" outlineLevel="0" collapsed="false">
      <c r="A392" s="2" t="s">
        <v>907</v>
      </c>
      <c r="B392" s="2" t="s">
        <v>908</v>
      </c>
      <c r="C392" s="5" t="n">
        <v>45917</v>
      </c>
      <c r="D392" s="6" t="n">
        <f aca="false">YEAR(C392)</f>
        <v>2025</v>
      </c>
      <c r="E392" s="7" t="n">
        <v>40.0069</v>
      </c>
      <c r="F392" s="7" t="n">
        <v>360.0381</v>
      </c>
      <c r="G392" s="3" t="n">
        <f aca="false">E392+F392</f>
        <v>400.045</v>
      </c>
      <c r="H392" s="2" t="n">
        <v>0</v>
      </c>
      <c r="I392" s="2" t="n">
        <v>0</v>
      </c>
      <c r="J392" s="2" t="n">
        <v>1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/>
      <c r="R392" s="2"/>
      <c r="S392" s="2" t="s">
        <v>783</v>
      </c>
    </row>
    <row r="393" customFormat="false" ht="15" hidden="false" customHeight="false" outlineLevel="0" collapsed="false">
      <c r="A393" s="2" t="s">
        <v>909</v>
      </c>
      <c r="B393" s="2" t="s">
        <v>910</v>
      </c>
      <c r="C393" s="5" t="n">
        <v>45919</v>
      </c>
      <c r="D393" s="6" t="n">
        <f aca="false">YEAR(C393)</f>
        <v>2025</v>
      </c>
      <c r="E393" s="7" t="n">
        <v>158.2264</v>
      </c>
      <c r="F393" s="7" t="n">
        <v>1934.3177</v>
      </c>
      <c r="G393" s="3" t="n">
        <f aca="false">E393+F393</f>
        <v>2092.5441</v>
      </c>
      <c r="H393" s="2" t="n">
        <v>1</v>
      </c>
      <c r="I393" s="2" t="n">
        <v>0</v>
      </c>
      <c r="J393" s="2" t="n">
        <v>1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/>
      <c r="R393" s="2"/>
      <c r="S393" s="2" t="s">
        <v>783</v>
      </c>
    </row>
    <row r="394" customFormat="false" ht="15" hidden="false" customHeight="false" outlineLevel="0" collapsed="false">
      <c r="A394" s="2" t="s">
        <v>911</v>
      </c>
      <c r="B394" s="2" t="s">
        <v>912</v>
      </c>
      <c r="C394" s="5" t="n">
        <v>45923</v>
      </c>
      <c r="D394" s="6" t="n">
        <f aca="false">YEAR(C394)</f>
        <v>2025</v>
      </c>
      <c r="E394" s="7" t="n">
        <v>78.1847</v>
      </c>
      <c r="F394" s="7" t="n">
        <v>703.6554</v>
      </c>
      <c r="G394" s="3" t="n">
        <f aca="false">E394+F394</f>
        <v>781.8401</v>
      </c>
      <c r="H394" s="2" t="n">
        <v>0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/>
      <c r="R394" s="2"/>
      <c r="S394" s="2" t="s">
        <v>783</v>
      </c>
    </row>
    <row r="395" customFormat="false" ht="15" hidden="false" customHeight="false" outlineLevel="0" collapsed="false">
      <c r="A395" s="2" t="s">
        <v>913</v>
      </c>
      <c r="B395" s="2" t="s">
        <v>914</v>
      </c>
      <c r="C395" s="5" t="n">
        <v>45925</v>
      </c>
      <c r="D395" s="6" t="n">
        <f aca="false">YEAR(C395)</f>
        <v>2025</v>
      </c>
      <c r="E395" s="7" t="n">
        <v>914.4958</v>
      </c>
      <c r="F395" s="7" t="n">
        <v>9502.7709</v>
      </c>
      <c r="G395" s="3" t="n">
        <f aca="false">E395+F395</f>
        <v>10417.2667</v>
      </c>
      <c r="H395" s="2" t="n">
        <v>0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/>
      <c r="R395" s="2"/>
      <c r="S395" s="2" t="s">
        <v>783</v>
      </c>
    </row>
    <row r="396" customFormat="false" ht="15" hidden="false" customHeight="false" outlineLevel="0" collapsed="false">
      <c r="A396" s="2" t="s">
        <v>915</v>
      </c>
      <c r="B396" s="2" t="s">
        <v>916</v>
      </c>
      <c r="C396" s="5" t="n">
        <v>45930</v>
      </c>
      <c r="D396" s="6" t="n">
        <f aca="false">YEAR(C396)</f>
        <v>2025</v>
      </c>
      <c r="E396" s="7" t="n">
        <v>106.6975</v>
      </c>
      <c r="F396" s="7" t="n">
        <v>960.2668</v>
      </c>
      <c r="G396" s="3" t="n">
        <f aca="false">E396+F396</f>
        <v>1066.9643</v>
      </c>
      <c r="H396" s="2" t="n">
        <v>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/>
      <c r="R396" s="2"/>
      <c r="S396" s="2" t="s">
        <v>783</v>
      </c>
    </row>
    <row r="397" customFormat="false" ht="15" hidden="false" customHeight="false" outlineLevel="0" collapsed="false">
      <c r="A397" s="2" t="s">
        <v>917</v>
      </c>
      <c r="B397" s="2" t="s">
        <v>918</v>
      </c>
      <c r="C397" s="5" t="n">
        <v>45930</v>
      </c>
      <c r="D397" s="6" t="n">
        <f aca="false">YEAR(C397)</f>
        <v>2025</v>
      </c>
      <c r="E397" s="7" t="n">
        <v>31.376</v>
      </c>
      <c r="F397" s="7" t="n">
        <v>282.384</v>
      </c>
      <c r="G397" s="3" t="n">
        <f aca="false">E397+F397</f>
        <v>313.76</v>
      </c>
      <c r="H397" s="2" t="n">
        <v>0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/>
      <c r="R397" s="2"/>
      <c r="S397" s="2" t="s">
        <v>783</v>
      </c>
    </row>
    <row r="398" customFormat="false" ht="15" hidden="false" customHeight="false" outlineLevel="0" collapsed="false">
      <c r="A398" s="2" t="s">
        <v>919</v>
      </c>
      <c r="B398" s="2" t="s">
        <v>920</v>
      </c>
      <c r="C398" s="5" t="n">
        <v>45930</v>
      </c>
      <c r="D398" s="6" t="n">
        <f aca="false">YEAR(C398)</f>
        <v>2025</v>
      </c>
      <c r="E398" s="7" t="n">
        <v>2498.4266</v>
      </c>
      <c r="F398" s="7" t="n">
        <v>26233.4539</v>
      </c>
      <c r="G398" s="3" t="n">
        <f aca="false">E398+F398</f>
        <v>28731.8805</v>
      </c>
      <c r="H398" s="2" t="n">
        <v>0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/>
      <c r="R398" s="2"/>
      <c r="S398" s="2" t="s">
        <v>783</v>
      </c>
    </row>
    <row r="399" customFormat="false" ht="15" hidden="false" customHeight="false" outlineLevel="0" collapsed="false">
      <c r="A399" s="2" t="s">
        <v>921</v>
      </c>
      <c r="B399" s="2" t="s">
        <v>922</v>
      </c>
      <c r="C399" s="5" t="n">
        <v>45938</v>
      </c>
      <c r="D399" s="6" t="n">
        <f aca="false">YEAR(C399)</f>
        <v>2025</v>
      </c>
      <c r="E399" s="7" t="n">
        <v>60.77</v>
      </c>
      <c r="F399" s="7" t="n">
        <v>546.9005</v>
      </c>
      <c r="G399" s="3" t="n">
        <f aca="false">E399+F399</f>
        <v>607.6705</v>
      </c>
      <c r="H399" s="2" t="n">
        <v>0</v>
      </c>
      <c r="I399" s="2" t="n">
        <v>0</v>
      </c>
      <c r="J399" s="2" t="n">
        <v>1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/>
      <c r="R399" s="2"/>
      <c r="S399" s="2" t="s">
        <v>783</v>
      </c>
    </row>
    <row r="400" customFormat="false" ht="15" hidden="false" customHeight="false" outlineLevel="0" collapsed="false">
      <c r="A400" s="2" t="s">
        <v>923</v>
      </c>
      <c r="B400" s="2" t="s">
        <v>924</v>
      </c>
      <c r="C400" s="5" t="n">
        <v>45940</v>
      </c>
      <c r="D400" s="6" t="n">
        <f aca="false">YEAR(C400)</f>
        <v>2025</v>
      </c>
      <c r="E400" s="7" t="n">
        <v>40.0115</v>
      </c>
      <c r="F400" s="7" t="n">
        <v>360.0965</v>
      </c>
      <c r="G400" s="3" t="n">
        <f aca="false">E400+F400</f>
        <v>400.108</v>
      </c>
      <c r="H400" s="2" t="n">
        <v>0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/>
      <c r="R400" s="2"/>
      <c r="S400" s="2" t="s">
        <v>783</v>
      </c>
    </row>
    <row r="401" customFormat="false" ht="15" hidden="false" customHeight="false" outlineLevel="0" collapsed="false">
      <c r="A401" s="2" t="s">
        <v>925</v>
      </c>
      <c r="B401" s="2" t="s">
        <v>926</v>
      </c>
      <c r="C401" s="5" t="n">
        <v>45945</v>
      </c>
      <c r="D401" s="6" t="n">
        <f aca="false">YEAR(C401)</f>
        <v>2025</v>
      </c>
      <c r="E401" s="7" t="n">
        <v>78.1086</v>
      </c>
      <c r="F401" s="7" t="n">
        <v>702.96</v>
      </c>
      <c r="G401" s="3" t="n">
        <f aca="false">E401+F401</f>
        <v>781.0686</v>
      </c>
      <c r="H401" s="2" t="n">
        <v>1</v>
      </c>
      <c r="I401" s="2" t="n">
        <v>0</v>
      </c>
      <c r="J401" s="2" t="n">
        <v>1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/>
      <c r="R401" s="2"/>
      <c r="S401" s="2" t="s">
        <v>783</v>
      </c>
    </row>
    <row r="402" customFormat="false" ht="15" hidden="false" customHeight="false" outlineLevel="0" collapsed="false">
      <c r="A402" s="2" t="s">
        <v>927</v>
      </c>
      <c r="B402" s="2" t="s">
        <v>928</v>
      </c>
      <c r="C402" s="5" t="n">
        <v>45946</v>
      </c>
      <c r="D402" s="6" t="n">
        <f aca="false">YEAR(C402)</f>
        <v>2025</v>
      </c>
      <c r="E402" s="7" t="n">
        <v>131.928</v>
      </c>
      <c r="F402" s="7" t="n">
        <v>626.658</v>
      </c>
      <c r="G402" s="3" t="n">
        <f aca="false">E402+F402</f>
        <v>758.586</v>
      </c>
      <c r="H402" s="2" t="n">
        <v>0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/>
      <c r="R402" s="2"/>
      <c r="S402" s="2" t="s">
        <v>783</v>
      </c>
    </row>
    <row r="403" customFormat="false" ht="15" hidden="false" customHeight="false" outlineLevel="0" collapsed="false">
      <c r="A403" s="2" t="s">
        <v>929</v>
      </c>
      <c r="B403" s="2" t="s">
        <v>930</v>
      </c>
      <c r="C403" s="5" t="n">
        <v>45950</v>
      </c>
      <c r="D403" s="6" t="n">
        <f aca="false">YEAR(C403)</f>
        <v>2025</v>
      </c>
      <c r="E403" s="7" t="n">
        <v>99.36</v>
      </c>
      <c r="F403" s="7" t="n">
        <v>894.24</v>
      </c>
      <c r="G403" s="3" t="n">
        <f aca="false">E403+F403</f>
        <v>993.6</v>
      </c>
      <c r="H403" s="2" t="n">
        <v>0</v>
      </c>
      <c r="I403" s="2" t="n">
        <v>0</v>
      </c>
      <c r="J403" s="2" t="n">
        <v>1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/>
      <c r="R403" s="2"/>
      <c r="S403" s="2" t="s">
        <v>783</v>
      </c>
    </row>
    <row r="404" customFormat="false" ht="15" hidden="false" customHeight="false" outlineLevel="0" collapsed="false">
      <c r="A404" s="2" t="s">
        <v>931</v>
      </c>
      <c r="B404" s="2" t="s">
        <v>932</v>
      </c>
      <c r="C404" s="5" t="n">
        <v>45951</v>
      </c>
      <c r="D404" s="6" t="n">
        <f aca="false">YEAR(C404)</f>
        <v>2025</v>
      </c>
      <c r="E404" s="7" t="n">
        <v>208.591</v>
      </c>
      <c r="F404" s="7" t="n">
        <v>2190.1766</v>
      </c>
      <c r="G404" s="3" t="n">
        <f aca="false">E404+F404</f>
        <v>2398.7676</v>
      </c>
      <c r="H404" s="2" t="n">
        <v>0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/>
      <c r="R404" s="2"/>
      <c r="S404" s="2" t="s">
        <v>783</v>
      </c>
    </row>
    <row r="405" customFormat="false" ht="15" hidden="false" customHeight="false" outlineLevel="0" collapsed="false">
      <c r="A405" s="2" t="s">
        <v>933</v>
      </c>
      <c r="B405" s="2" t="s">
        <v>934</v>
      </c>
      <c r="C405" s="5" t="n">
        <v>45952</v>
      </c>
      <c r="D405" s="6" t="n">
        <f aca="false">YEAR(C405)</f>
        <v>2025</v>
      </c>
      <c r="E405" s="7" t="n">
        <v>290.4263</v>
      </c>
      <c r="F405" s="7" t="n">
        <v>2613.798</v>
      </c>
      <c r="G405" s="3" t="n">
        <f aca="false">E405+F405</f>
        <v>2904.2243</v>
      </c>
      <c r="H405" s="2" t="n">
        <v>0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/>
      <c r="R405" s="2"/>
      <c r="S405" s="2" t="s">
        <v>783</v>
      </c>
    </row>
    <row r="406" customFormat="false" ht="15" hidden="false" customHeight="false" outlineLevel="0" collapsed="false">
      <c r="A406" s="2" t="s">
        <v>935</v>
      </c>
      <c r="B406" s="2" t="s">
        <v>936</v>
      </c>
      <c r="C406" s="5" t="n">
        <v>45958</v>
      </c>
      <c r="D406" s="6" t="n">
        <f aca="false">YEAR(C406)</f>
        <v>2025</v>
      </c>
      <c r="E406" s="7" t="n">
        <v>45</v>
      </c>
      <c r="F406" s="7" t="n">
        <v>405</v>
      </c>
      <c r="G406" s="3" t="n">
        <f aca="false">E406+F406</f>
        <v>450</v>
      </c>
      <c r="H406" s="2" t="n">
        <v>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/>
      <c r="R406" s="2"/>
      <c r="S406" s="2" t="s">
        <v>783</v>
      </c>
    </row>
    <row r="407" customFormat="false" ht="15" hidden="false" customHeight="false" outlineLevel="0" collapsed="false">
      <c r="A407" s="2" t="s">
        <v>937</v>
      </c>
      <c r="B407" s="2" t="s">
        <v>938</v>
      </c>
      <c r="C407" s="5" t="n">
        <v>45958</v>
      </c>
      <c r="D407" s="6" t="n">
        <f aca="false">YEAR(C407)</f>
        <v>2025</v>
      </c>
      <c r="E407" s="7" t="n">
        <v>461.5683</v>
      </c>
      <c r="F407" s="7" t="n">
        <v>4846.4622</v>
      </c>
      <c r="G407" s="3" t="n">
        <f aca="false">E407+F407</f>
        <v>5308.0305</v>
      </c>
      <c r="H407" s="2" t="n">
        <v>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/>
      <c r="R407" s="2"/>
      <c r="S407" s="2" t="s">
        <v>783</v>
      </c>
    </row>
    <row r="408" customFormat="false" ht="15" hidden="false" customHeight="false" outlineLevel="0" collapsed="false">
      <c r="A408" s="2" t="s">
        <v>939</v>
      </c>
      <c r="B408" s="2" t="s">
        <v>940</v>
      </c>
      <c r="C408" s="5" t="n">
        <v>45958</v>
      </c>
      <c r="D408" s="6" t="n">
        <f aca="false">YEAR(C408)</f>
        <v>2025</v>
      </c>
      <c r="E408" s="7" t="n">
        <v>142.0018</v>
      </c>
      <c r="F408" s="7" t="n">
        <v>568.0073</v>
      </c>
      <c r="G408" s="3" t="n">
        <f aca="false">E408+F408</f>
        <v>710.0091</v>
      </c>
      <c r="H408" s="2" t="n">
        <v>0</v>
      </c>
      <c r="I408" s="2" t="n">
        <v>0</v>
      </c>
      <c r="J408" s="2" t="n">
        <v>0</v>
      </c>
      <c r="K408" s="2" t="n">
        <v>1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/>
      <c r="R408" s="2"/>
      <c r="S408" s="2" t="s">
        <v>783</v>
      </c>
    </row>
    <row r="409" customFormat="false" ht="15" hidden="false" customHeight="false" outlineLevel="0" collapsed="false">
      <c r="A409" s="2" t="s">
        <v>941</v>
      </c>
      <c r="B409" s="2" t="s">
        <v>942</v>
      </c>
      <c r="C409" s="5" t="n">
        <v>45958</v>
      </c>
      <c r="D409" s="6" t="n">
        <f aca="false">YEAR(C409)</f>
        <v>2025</v>
      </c>
      <c r="E409" s="7" t="n">
        <v>1236.3074</v>
      </c>
      <c r="F409" s="7" t="n">
        <v>14112.7793</v>
      </c>
      <c r="G409" s="3" t="n">
        <f aca="false">E409+F409</f>
        <v>15349.0867</v>
      </c>
      <c r="H409" s="2" t="n">
        <v>0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/>
      <c r="R409" s="2"/>
      <c r="S409" s="2" t="s">
        <v>783</v>
      </c>
    </row>
    <row r="410" customFormat="false" ht="15" hidden="false" customHeight="false" outlineLevel="0" collapsed="false">
      <c r="A410" s="2" t="s">
        <v>943</v>
      </c>
      <c r="B410" s="2" t="s">
        <v>944</v>
      </c>
      <c r="C410" s="5" t="n">
        <v>45964</v>
      </c>
      <c r="D410" s="6" t="n">
        <f aca="false">YEAR(C410)</f>
        <v>2025</v>
      </c>
      <c r="E410" s="7" t="n">
        <v>101.7907</v>
      </c>
      <c r="F410" s="7" t="n">
        <v>1068.7631</v>
      </c>
      <c r="G410" s="3" t="n">
        <f aca="false">E410+F410</f>
        <v>1170.5538</v>
      </c>
      <c r="H410" s="2" t="n">
        <v>0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/>
      <c r="R410" s="2"/>
      <c r="S410" s="2" t="s">
        <v>783</v>
      </c>
    </row>
    <row r="411" customFormat="false" ht="15" hidden="false" customHeight="false" outlineLevel="0" collapsed="false">
      <c r="A411" s="2" t="s">
        <v>945</v>
      </c>
      <c r="B411" s="2" t="s">
        <v>946</v>
      </c>
      <c r="C411" s="5" t="n">
        <v>45964</v>
      </c>
      <c r="D411" s="6" t="n">
        <f aca="false">YEAR(C411)</f>
        <v>2025</v>
      </c>
      <c r="E411" s="7" t="n">
        <v>0</v>
      </c>
      <c r="F411" s="7" t="n">
        <v>0</v>
      </c>
      <c r="G411" s="3" t="n">
        <f aca="false">E411+F411</f>
        <v>0</v>
      </c>
      <c r="H411" s="2" t="n">
        <v>0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/>
      <c r="R411" s="2"/>
      <c r="S411" s="2" t="s">
        <v>783</v>
      </c>
    </row>
    <row r="412" customFormat="false" ht="15" hidden="false" customHeight="false" outlineLevel="0" collapsed="false">
      <c r="A412" s="2" t="s">
        <v>947</v>
      </c>
      <c r="B412" s="2" t="s">
        <v>948</v>
      </c>
      <c r="C412" s="5" t="n">
        <v>45966</v>
      </c>
      <c r="D412" s="6" t="n">
        <f aca="false">YEAR(C412)</f>
        <v>2025</v>
      </c>
      <c r="E412" s="7" t="n">
        <v>1428.3399</v>
      </c>
      <c r="F412" s="7" t="n">
        <v>12855.0587</v>
      </c>
      <c r="G412" s="3" t="n">
        <f aca="false">E412+F412</f>
        <v>14283.3986</v>
      </c>
      <c r="H412" s="2" t="n">
        <v>0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/>
      <c r="R412" s="2"/>
      <c r="S412" s="2" t="s">
        <v>783</v>
      </c>
    </row>
    <row r="413" customFormat="false" ht="15" hidden="false" customHeight="false" outlineLevel="0" collapsed="false">
      <c r="A413" s="2" t="s">
        <v>949</v>
      </c>
      <c r="B413" s="2" t="s">
        <v>950</v>
      </c>
      <c r="C413" s="5" t="n">
        <v>45967</v>
      </c>
      <c r="D413" s="6" t="n">
        <f aca="false">YEAR(C413)</f>
        <v>2025</v>
      </c>
      <c r="E413" s="7" t="n">
        <v>341.22</v>
      </c>
      <c r="F413" s="7" t="n">
        <v>3070.98</v>
      </c>
      <c r="G413" s="3" t="n">
        <f aca="false">E413+F413</f>
        <v>3412.2</v>
      </c>
      <c r="H413" s="2" t="n">
        <v>0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/>
      <c r="R413" s="2"/>
      <c r="S413" s="2" t="s">
        <v>783</v>
      </c>
    </row>
    <row r="414" customFormat="false" ht="15" hidden="false" customHeight="false" outlineLevel="0" collapsed="false">
      <c r="A414" s="2" t="s">
        <v>951</v>
      </c>
      <c r="B414" s="2" t="s">
        <v>952</v>
      </c>
      <c r="C414" s="5" t="n">
        <v>45967</v>
      </c>
      <c r="D414" s="6" t="n">
        <f aca="false">YEAR(C414)</f>
        <v>2025</v>
      </c>
      <c r="E414" s="7" t="n">
        <v>583.1884</v>
      </c>
      <c r="F414" s="7" t="n">
        <v>6123.4226</v>
      </c>
      <c r="G414" s="3" t="n">
        <f aca="false">E414+F414</f>
        <v>6706.611</v>
      </c>
      <c r="H414" s="2" t="n">
        <v>0</v>
      </c>
      <c r="I414" s="2" t="n">
        <v>0</v>
      </c>
      <c r="J414" s="2" t="n">
        <v>0</v>
      </c>
      <c r="K414" s="2" t="n">
        <v>1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/>
      <c r="R414" s="2"/>
      <c r="S414" s="2" t="s">
        <v>783</v>
      </c>
    </row>
    <row r="415" customFormat="false" ht="15" hidden="false" customHeight="false" outlineLevel="0" collapsed="false">
      <c r="A415" s="2" t="s">
        <v>953</v>
      </c>
      <c r="B415" s="2" t="s">
        <v>954</v>
      </c>
      <c r="C415" s="5" t="n">
        <v>45967</v>
      </c>
      <c r="D415" s="6" t="n">
        <f aca="false">YEAR(C415)</f>
        <v>2025</v>
      </c>
      <c r="E415" s="7" t="n">
        <v>58.7245</v>
      </c>
      <c r="F415" s="7" t="n">
        <v>528.5141</v>
      </c>
      <c r="G415" s="3" t="n">
        <f aca="false">E415+F415</f>
        <v>587.2386</v>
      </c>
      <c r="H415" s="2" t="n">
        <v>1</v>
      </c>
      <c r="I415" s="2" t="n">
        <v>0</v>
      </c>
      <c r="J415" s="2" t="n">
        <v>1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/>
      <c r="R415" s="2"/>
      <c r="S415" s="2" t="s">
        <v>783</v>
      </c>
    </row>
    <row r="416" customFormat="false" ht="15" hidden="false" customHeight="false" outlineLevel="0" collapsed="false">
      <c r="A416" s="2" t="s">
        <v>955</v>
      </c>
      <c r="B416" s="2" t="s">
        <v>956</v>
      </c>
      <c r="C416" s="5" t="n">
        <v>45967</v>
      </c>
      <c r="D416" s="6" t="n">
        <f aca="false">YEAR(C416)</f>
        <v>2025</v>
      </c>
      <c r="E416" s="7" t="n">
        <v>478.315</v>
      </c>
      <c r="F416" s="7" t="n">
        <v>1913.26</v>
      </c>
      <c r="G416" s="3" t="n">
        <f aca="false">E416+F416</f>
        <v>2391.575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/>
      <c r="R416" s="2" t="s">
        <v>112</v>
      </c>
      <c r="S416" s="2" t="s">
        <v>783</v>
      </c>
    </row>
    <row r="417" customFormat="false" ht="15" hidden="false" customHeight="false" outlineLevel="0" collapsed="false">
      <c r="A417" s="2" t="s">
        <v>957</v>
      </c>
      <c r="B417" s="2" t="s">
        <v>958</v>
      </c>
      <c r="C417" s="5" t="n">
        <v>45971</v>
      </c>
      <c r="D417" s="6" t="n">
        <f aca="false">YEAR(C417)</f>
        <v>2025</v>
      </c>
      <c r="E417" s="7" t="n">
        <v>238.1161</v>
      </c>
      <c r="F417" s="7" t="n">
        <v>2500.2188</v>
      </c>
      <c r="G417" s="3" t="n">
        <f aca="false">E417+F417</f>
        <v>2738.3349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/>
      <c r="R417" s="2"/>
      <c r="S417" s="2" t="s">
        <v>783</v>
      </c>
    </row>
    <row r="418" customFormat="false" ht="15" hidden="false" customHeight="false" outlineLevel="0" collapsed="false">
      <c r="A418" s="2" t="s">
        <v>959</v>
      </c>
      <c r="B418" s="2" t="s">
        <v>960</v>
      </c>
      <c r="C418" s="5" t="n">
        <v>45978</v>
      </c>
      <c r="D418" s="6" t="n">
        <f aca="false">YEAR(C418)</f>
        <v>2025</v>
      </c>
      <c r="E418" s="7" t="n">
        <v>354.3684</v>
      </c>
      <c r="F418" s="7" t="n">
        <v>3189.2952</v>
      </c>
      <c r="G418" s="3" t="n">
        <f aca="false">E418+F418</f>
        <v>3543.6636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/>
      <c r="R418" s="2"/>
      <c r="S418" s="2" t="s">
        <v>783</v>
      </c>
    </row>
    <row r="419" customFormat="false" ht="15" hidden="false" customHeight="false" outlineLevel="0" collapsed="false">
      <c r="A419" s="2" t="s">
        <v>961</v>
      </c>
      <c r="B419" s="2" t="s">
        <v>962</v>
      </c>
      <c r="C419" s="5" t="n">
        <v>45985</v>
      </c>
      <c r="D419" s="6" t="n">
        <f aca="false">YEAR(C419)</f>
        <v>2025</v>
      </c>
      <c r="E419" s="7" t="n">
        <v>549.5</v>
      </c>
      <c r="F419" s="7" t="n">
        <v>5769.75</v>
      </c>
      <c r="G419" s="3" t="n">
        <f aca="false">E419+F419</f>
        <v>6319.25</v>
      </c>
      <c r="H419" s="2" t="n">
        <v>0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/>
      <c r="R419" s="2"/>
      <c r="S419" s="2" t="s">
        <v>783</v>
      </c>
    </row>
    <row r="420" customFormat="false" ht="15" hidden="false" customHeight="false" outlineLevel="0" collapsed="false">
      <c r="A420" s="2" t="s">
        <v>963</v>
      </c>
      <c r="B420" s="2" t="s">
        <v>964</v>
      </c>
      <c r="C420" s="5" t="n">
        <v>45988</v>
      </c>
      <c r="D420" s="6" t="n">
        <f aca="false">YEAR(C420)</f>
        <v>2025</v>
      </c>
      <c r="E420" s="7" t="n">
        <v>13.083</v>
      </c>
      <c r="F420" s="7" t="n">
        <v>134.8725</v>
      </c>
      <c r="G420" s="3" t="n">
        <f aca="false">E420+F420</f>
        <v>147.9555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/>
      <c r="R420" s="2"/>
      <c r="S420" s="2" t="s">
        <v>783</v>
      </c>
    </row>
    <row r="421" customFormat="false" ht="15" hidden="false" customHeight="false" outlineLevel="0" collapsed="false">
      <c r="A421" s="2" t="s">
        <v>965</v>
      </c>
      <c r="B421" s="2" t="s">
        <v>966</v>
      </c>
      <c r="C421" s="5" t="n">
        <v>45989</v>
      </c>
      <c r="D421" s="6" t="n">
        <f aca="false">YEAR(C421)</f>
        <v>2025</v>
      </c>
      <c r="E421" s="7" t="n">
        <v>50.6312</v>
      </c>
      <c r="F421" s="7" t="n">
        <v>480.7933</v>
      </c>
      <c r="G421" s="3" t="n">
        <f aca="false">E421+F421</f>
        <v>531.4245</v>
      </c>
      <c r="H421" s="2" t="n">
        <v>0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/>
      <c r="R421" s="2"/>
      <c r="S421" s="2" t="s">
        <v>783</v>
      </c>
    </row>
    <row r="422" customFormat="false" ht="15" hidden="false" customHeight="false" outlineLevel="0" collapsed="false">
      <c r="A422" s="2" t="s">
        <v>967</v>
      </c>
      <c r="B422" s="2" t="s">
        <v>968</v>
      </c>
      <c r="C422" s="5" t="n">
        <v>45994</v>
      </c>
      <c r="D422" s="6" t="n">
        <f aca="false">YEAR(C422)</f>
        <v>2025</v>
      </c>
      <c r="E422" s="7" t="n">
        <v>17.739</v>
      </c>
      <c r="F422" s="7" t="n">
        <v>159.651</v>
      </c>
      <c r="G422" s="3" t="n">
        <f aca="false">E422+F422</f>
        <v>177.39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/>
      <c r="R422" s="2"/>
      <c r="S422" s="2" t="s">
        <v>783</v>
      </c>
    </row>
    <row r="423" customFormat="false" ht="15" hidden="false" customHeight="false" outlineLevel="0" collapsed="false">
      <c r="A423" s="2" t="s">
        <v>969</v>
      </c>
      <c r="B423" s="2" t="s">
        <v>970</v>
      </c>
      <c r="C423" s="5" t="n">
        <v>45994</v>
      </c>
      <c r="D423" s="6" t="n">
        <f aca="false">YEAR(C423)</f>
        <v>2025</v>
      </c>
      <c r="E423" s="7" t="n">
        <v>22.224</v>
      </c>
      <c r="F423" s="7" t="n">
        <v>200</v>
      </c>
      <c r="G423" s="3" t="n">
        <f aca="false">E423+F423</f>
        <v>222.224</v>
      </c>
      <c r="H423" s="2" t="n">
        <v>0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/>
      <c r="R423" s="2"/>
      <c r="S423" s="2" t="s">
        <v>783</v>
      </c>
    </row>
    <row r="424" customFormat="false" ht="15" hidden="false" customHeight="false" outlineLevel="0" collapsed="false">
      <c r="A424" s="2" t="s">
        <v>971</v>
      </c>
      <c r="B424" s="2" t="s">
        <v>972</v>
      </c>
      <c r="C424" s="5" t="n">
        <v>45996</v>
      </c>
      <c r="D424" s="6" t="n">
        <f aca="false">YEAR(C424)</f>
        <v>2025</v>
      </c>
      <c r="E424" s="7" t="n">
        <v>174.4089</v>
      </c>
      <c r="F424" s="7" t="n">
        <v>1569.6801</v>
      </c>
      <c r="G424" s="3" t="n">
        <f aca="false">E424+F424</f>
        <v>1744.089</v>
      </c>
      <c r="H424" s="2" t="n">
        <v>0</v>
      </c>
      <c r="I424" s="2" t="n">
        <v>0</v>
      </c>
      <c r="J424" s="2" t="n">
        <v>0</v>
      </c>
      <c r="K424" s="2" t="n">
        <v>0</v>
      </c>
      <c r="L424" s="2" t="n">
        <v>1</v>
      </c>
      <c r="M424" s="2" t="n">
        <v>0</v>
      </c>
      <c r="N424" s="2" t="n">
        <v>0</v>
      </c>
      <c r="O424" s="2" t="n">
        <v>0</v>
      </c>
      <c r="P424" s="2" t="n">
        <v>0</v>
      </c>
      <c r="Q424" s="2"/>
      <c r="R424" s="2"/>
      <c r="S424" s="2" t="s">
        <v>783</v>
      </c>
    </row>
    <row r="425" customFormat="false" ht="15" hidden="false" customHeight="false" outlineLevel="0" collapsed="false">
      <c r="A425" s="2" t="s">
        <v>973</v>
      </c>
      <c r="B425" s="2" t="s">
        <v>974</v>
      </c>
      <c r="C425" s="5" t="n">
        <v>45996</v>
      </c>
      <c r="D425" s="6" t="n">
        <f aca="false">YEAR(C425)</f>
        <v>2025</v>
      </c>
      <c r="E425" s="7" t="n">
        <v>68.545</v>
      </c>
      <c r="F425" s="7" t="n">
        <v>616.9011</v>
      </c>
      <c r="G425" s="3" t="n">
        <f aca="false">E425+F425</f>
        <v>685.4461</v>
      </c>
      <c r="H425" s="2" t="n">
        <v>0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/>
      <c r="R425" s="2"/>
      <c r="S425" s="2" t="s">
        <v>783</v>
      </c>
    </row>
    <row r="426" customFormat="false" ht="15" hidden="false" customHeight="false" outlineLevel="0" collapsed="false">
      <c r="A426" s="2" t="s">
        <v>975</v>
      </c>
      <c r="B426" s="2" t="s">
        <v>976</v>
      </c>
      <c r="C426" s="5" t="n">
        <v>45999</v>
      </c>
      <c r="D426" s="6" t="n">
        <f aca="false">YEAR(C426)</f>
        <v>2025</v>
      </c>
      <c r="E426" s="7" t="n">
        <v>45.0022</v>
      </c>
      <c r="F426" s="7" t="n">
        <v>405</v>
      </c>
      <c r="G426" s="3" t="n">
        <f aca="false">E426+F426</f>
        <v>450.0022</v>
      </c>
      <c r="H426" s="2" t="n">
        <v>0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/>
      <c r="R426" s="2"/>
      <c r="S426" s="2" t="s">
        <v>783</v>
      </c>
    </row>
    <row r="427" customFormat="false" ht="15" hidden="false" customHeight="false" outlineLevel="0" collapsed="false">
      <c r="A427" s="2" t="s">
        <v>977</v>
      </c>
      <c r="B427" s="2" t="s">
        <v>978</v>
      </c>
      <c r="C427" s="5" t="n">
        <v>45999</v>
      </c>
      <c r="D427" s="6" t="n">
        <f aca="false">YEAR(C427)</f>
        <v>2025</v>
      </c>
      <c r="E427" s="7" t="n">
        <v>221.2004</v>
      </c>
      <c r="F427" s="7" t="n">
        <v>2109.8196</v>
      </c>
      <c r="G427" s="3" t="n">
        <f aca="false">E427+F427</f>
        <v>2331.02</v>
      </c>
      <c r="H427" s="2" t="n">
        <v>0</v>
      </c>
      <c r="I427" s="2" t="n">
        <v>0</v>
      </c>
      <c r="J427" s="2" t="n">
        <v>0</v>
      </c>
      <c r="K427" s="2" t="n">
        <v>0</v>
      </c>
      <c r="L427" s="2" t="n">
        <v>1</v>
      </c>
      <c r="M427" s="2" t="n">
        <v>0</v>
      </c>
      <c r="N427" s="2" t="n">
        <v>0</v>
      </c>
      <c r="O427" s="2" t="n">
        <v>0</v>
      </c>
      <c r="P427" s="2" t="n">
        <v>0</v>
      </c>
      <c r="Q427" s="2"/>
      <c r="R427" s="2"/>
      <c r="S427" s="2" t="s">
        <v>783</v>
      </c>
    </row>
    <row r="428" customFormat="false" ht="15" hidden="false" customHeight="false" outlineLevel="0" collapsed="false">
      <c r="A428" s="2" t="s">
        <v>979</v>
      </c>
      <c r="B428" s="2" t="s">
        <v>980</v>
      </c>
      <c r="C428" s="5" t="n">
        <v>46001</v>
      </c>
      <c r="D428" s="6" t="n">
        <f aca="false">YEAR(C428)</f>
        <v>2025</v>
      </c>
      <c r="E428" s="7" t="n">
        <v>100.0119</v>
      </c>
      <c r="F428" s="7" t="n">
        <v>900.0988</v>
      </c>
      <c r="G428" s="3" t="n">
        <f aca="false">E428+F428</f>
        <v>1000.1107</v>
      </c>
      <c r="H428" s="2" t="n">
        <v>1</v>
      </c>
      <c r="I428" s="2" t="n">
        <v>0</v>
      </c>
      <c r="J428" s="2" t="n">
        <v>1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/>
      <c r="R428" s="2"/>
      <c r="S428" s="2" t="s">
        <v>783</v>
      </c>
    </row>
    <row r="429" customFormat="false" ht="15" hidden="false" customHeight="false" outlineLevel="0" collapsed="false">
      <c r="A429" s="2" t="s">
        <v>981</v>
      </c>
      <c r="B429" s="2" t="s">
        <v>982</v>
      </c>
      <c r="C429" s="5" t="n">
        <v>46001</v>
      </c>
      <c r="D429" s="6" t="n">
        <f aca="false">YEAR(C429)</f>
        <v>2025</v>
      </c>
      <c r="E429" s="7" t="n">
        <v>0</v>
      </c>
      <c r="F429" s="7" t="n">
        <v>0</v>
      </c>
      <c r="G429" s="3" t="n">
        <f aca="false">E429+F429</f>
        <v>0</v>
      </c>
      <c r="H429" s="2" t="n">
        <v>0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/>
      <c r="R429" s="2"/>
      <c r="S429" s="2" t="s">
        <v>783</v>
      </c>
    </row>
    <row r="430" customFormat="false" ht="15" hidden="false" customHeight="false" outlineLevel="0" collapsed="false">
      <c r="A430" s="2" t="s">
        <v>983</v>
      </c>
      <c r="B430" s="2" t="s">
        <v>984</v>
      </c>
      <c r="C430" s="5" t="n">
        <v>46002</v>
      </c>
      <c r="D430" s="6" t="n">
        <f aca="false">YEAR(C430)</f>
        <v>2025</v>
      </c>
      <c r="E430" s="7" t="n">
        <v>297.8061</v>
      </c>
      <c r="F430" s="7" t="n">
        <v>2736.0373</v>
      </c>
      <c r="G430" s="3" t="n">
        <f aca="false">E430+F430</f>
        <v>3033.8434</v>
      </c>
      <c r="H430" s="2" t="n">
        <v>0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/>
      <c r="R430" s="2"/>
      <c r="S430" s="2" t="s">
        <v>783</v>
      </c>
    </row>
    <row r="431" customFormat="false" ht="15" hidden="false" customHeight="false" outlineLevel="0" collapsed="false">
      <c r="A431" s="2" t="s">
        <v>985</v>
      </c>
      <c r="B431" s="2" t="s">
        <v>986</v>
      </c>
      <c r="C431" s="5" t="n">
        <v>46007</v>
      </c>
      <c r="D431" s="6" t="n">
        <f aca="false">YEAR(C431)</f>
        <v>2025</v>
      </c>
      <c r="E431" s="7" t="n">
        <v>68.0445</v>
      </c>
      <c r="F431" s="7" t="n">
        <v>831.8405</v>
      </c>
      <c r="G431" s="3" t="n">
        <f aca="false">E431+F431</f>
        <v>899.885</v>
      </c>
      <c r="H431" s="2" t="n">
        <v>0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/>
      <c r="R431" s="2"/>
      <c r="S431" s="2" t="s">
        <v>783</v>
      </c>
    </row>
    <row r="432" customFormat="false" ht="15" hidden="false" customHeight="false" outlineLevel="0" collapsed="false">
      <c r="A432" s="2" t="s">
        <v>987</v>
      </c>
      <c r="B432" s="2" t="s">
        <v>988</v>
      </c>
      <c r="C432" s="5" t="n">
        <v>46008</v>
      </c>
      <c r="D432" s="6" t="n">
        <f aca="false">YEAR(C432)</f>
        <v>2025</v>
      </c>
      <c r="E432" s="7" t="n">
        <v>160.7021</v>
      </c>
      <c r="F432" s="7" t="n">
        <v>1452.2667</v>
      </c>
      <c r="G432" s="3" t="n">
        <f aca="false">E432+F432</f>
        <v>1612.9688</v>
      </c>
      <c r="H432" s="2" t="n">
        <v>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/>
      <c r="R432" s="2"/>
      <c r="S432" s="2" t="s">
        <v>783</v>
      </c>
    </row>
    <row r="433" customFormat="false" ht="15" hidden="false" customHeight="false" outlineLevel="0" collapsed="false">
      <c r="A433" s="2" t="s">
        <v>989</v>
      </c>
      <c r="B433" s="2" t="s">
        <v>990</v>
      </c>
      <c r="C433" s="5" t="n">
        <v>46010</v>
      </c>
      <c r="D433" s="6" t="n">
        <f aca="false">YEAR(C433)</f>
        <v>2025</v>
      </c>
      <c r="E433" s="7" t="n">
        <v>142.2304</v>
      </c>
      <c r="F433" s="7" t="n">
        <v>1280.0683</v>
      </c>
      <c r="G433" s="3" t="n">
        <f aca="false">E433+F433</f>
        <v>1422.2987</v>
      </c>
      <c r="H433" s="2" t="n">
        <v>0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/>
      <c r="R433" s="2"/>
      <c r="S433" s="2" t="s">
        <v>783</v>
      </c>
    </row>
    <row r="434" customFormat="false" ht="15" hidden="false" customHeight="false" outlineLevel="0" collapsed="false">
      <c r="A434" s="2" t="s">
        <v>991</v>
      </c>
      <c r="B434" s="2" t="s">
        <v>992</v>
      </c>
      <c r="C434" s="5" t="n">
        <v>46010</v>
      </c>
      <c r="D434" s="6" t="n">
        <f aca="false">YEAR(C434)</f>
        <v>2025</v>
      </c>
      <c r="E434" s="7" t="n">
        <v>55.004</v>
      </c>
      <c r="F434" s="7" t="n">
        <v>494.9996</v>
      </c>
      <c r="G434" s="3" t="n">
        <f aca="false">E434+F434</f>
        <v>550.0036</v>
      </c>
      <c r="H434" s="2" t="n">
        <v>0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/>
      <c r="R434" s="2"/>
      <c r="S434" s="2" t="s">
        <v>783</v>
      </c>
    </row>
    <row r="435" customFormat="false" ht="15" hidden="false" customHeight="false" outlineLevel="0" collapsed="false">
      <c r="A435" s="2" t="s">
        <v>993</v>
      </c>
      <c r="B435" s="2" t="s">
        <v>994</v>
      </c>
      <c r="C435" s="5" t="n">
        <v>46013</v>
      </c>
      <c r="D435" s="6" t="n">
        <f aca="false">YEAR(C435)</f>
        <v>2025</v>
      </c>
      <c r="E435" s="7" t="n">
        <v>67.423</v>
      </c>
      <c r="F435" s="7" t="n">
        <v>606.7612</v>
      </c>
      <c r="G435" s="3" t="n">
        <f aca="false">E435+F435</f>
        <v>674.1842</v>
      </c>
      <c r="H435" s="2" t="n">
        <v>1</v>
      </c>
      <c r="I435" s="2" t="n">
        <v>0</v>
      </c>
      <c r="J435" s="2" t="n">
        <v>1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/>
      <c r="R435" s="2"/>
      <c r="S435" s="2" t="s">
        <v>783</v>
      </c>
    </row>
    <row r="436" customFormat="false" ht="15" hidden="false" customHeight="false" outlineLevel="0" collapsed="false">
      <c r="A436" s="2" t="s">
        <v>995</v>
      </c>
      <c r="B436" s="2" t="s">
        <v>996</v>
      </c>
      <c r="C436" s="5" t="n">
        <v>46013</v>
      </c>
      <c r="D436" s="6" t="n">
        <f aca="false">YEAR(C436)</f>
        <v>2025</v>
      </c>
      <c r="E436" s="7" t="n">
        <v>62.578</v>
      </c>
      <c r="F436" s="7" t="n">
        <v>563.202</v>
      </c>
      <c r="G436" s="3" t="n">
        <f aca="false">E436+F436</f>
        <v>625.78</v>
      </c>
      <c r="H436" s="2" t="n">
        <v>0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/>
      <c r="R436" s="2"/>
      <c r="S436" s="2" t="s">
        <v>783</v>
      </c>
    </row>
    <row r="437" customFormat="false" ht="15" hidden="false" customHeight="false" outlineLevel="0" collapsed="false">
      <c r="A437" s="2" t="s">
        <v>997</v>
      </c>
      <c r="B437" s="2" t="s">
        <v>998</v>
      </c>
      <c r="C437" s="5" t="n">
        <v>46013</v>
      </c>
      <c r="D437" s="6" t="n">
        <f aca="false">YEAR(C437)</f>
        <v>2025</v>
      </c>
      <c r="E437" s="7" t="n">
        <v>12.996</v>
      </c>
      <c r="F437" s="7" t="n">
        <v>116.964</v>
      </c>
      <c r="G437" s="3" t="n">
        <f aca="false">E437+F437</f>
        <v>129.96</v>
      </c>
      <c r="H437" s="2" t="n">
        <v>0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/>
      <c r="R437" s="2"/>
      <c r="S437" s="2" t="s">
        <v>783</v>
      </c>
    </row>
    <row r="438" customFormat="false" ht="15" hidden="false" customHeight="false" outlineLevel="0" collapsed="false">
      <c r="A438" s="2" t="s">
        <v>999</v>
      </c>
      <c r="B438" s="2" t="s">
        <v>1000</v>
      </c>
      <c r="C438" s="5" t="n">
        <v>46013</v>
      </c>
      <c r="D438" s="6" t="n">
        <f aca="false">YEAR(C438)</f>
        <v>2025</v>
      </c>
      <c r="E438" s="7" t="n">
        <v>193.782</v>
      </c>
      <c r="F438" s="7" t="n">
        <v>1098.126</v>
      </c>
      <c r="G438" s="3" t="n">
        <f aca="false">E438+F438</f>
        <v>1291.908</v>
      </c>
      <c r="H438" s="2" t="n">
        <v>0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/>
      <c r="R438" s="2"/>
      <c r="S438" s="2" t="s">
        <v>783</v>
      </c>
    </row>
    <row r="439" customFormat="false" ht="15" hidden="false" customHeight="false" outlineLevel="0" collapsed="false">
      <c r="A439" s="2" t="s">
        <v>1001</v>
      </c>
      <c r="B439" s="2" t="s">
        <v>1002</v>
      </c>
      <c r="C439" s="5" t="n">
        <v>46014</v>
      </c>
      <c r="D439" s="6" t="n">
        <f aca="false">YEAR(C439)</f>
        <v>2025</v>
      </c>
      <c r="E439" s="7" t="n">
        <v>58.6272</v>
      </c>
      <c r="F439" s="7" t="n">
        <v>527.6448</v>
      </c>
      <c r="G439" s="3" t="n">
        <f aca="false">E439+F439</f>
        <v>586.272</v>
      </c>
      <c r="H439" s="2" t="n">
        <v>1</v>
      </c>
      <c r="I439" s="2" t="n">
        <v>0</v>
      </c>
      <c r="J439" s="2" t="n">
        <v>1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/>
      <c r="R439" s="2"/>
      <c r="S439" s="2" t="s">
        <v>783</v>
      </c>
    </row>
    <row r="440" customFormat="false" ht="15" hidden="false" customHeight="false" outlineLevel="0" collapsed="false">
      <c r="A440" s="2" t="s">
        <v>1003</v>
      </c>
      <c r="B440" s="2" t="s">
        <v>1004</v>
      </c>
      <c r="C440" s="5" t="n">
        <v>46014</v>
      </c>
      <c r="D440" s="6" t="n">
        <f aca="false">YEAR(C440)</f>
        <v>2025</v>
      </c>
      <c r="E440" s="7" t="n">
        <v>30.296</v>
      </c>
      <c r="F440" s="7" t="n">
        <v>272.632</v>
      </c>
      <c r="G440" s="3" t="n">
        <f aca="false">E440+F440</f>
        <v>302.928</v>
      </c>
      <c r="H440" s="2" t="n">
        <v>0</v>
      </c>
      <c r="I440" s="2" t="n">
        <v>0</v>
      </c>
      <c r="J440" s="2" t="n">
        <v>0</v>
      </c>
      <c r="K440" s="2" t="n">
        <v>1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/>
      <c r="R440" s="2"/>
      <c r="S440" s="2" t="s">
        <v>783</v>
      </c>
    </row>
    <row r="441" customFormat="false" ht="15" hidden="false" customHeight="false" outlineLevel="0" collapsed="false">
      <c r="A441" s="2" t="s">
        <v>1005</v>
      </c>
      <c r="B441" s="2" t="s">
        <v>1006</v>
      </c>
      <c r="C441" s="5" t="n">
        <v>46014</v>
      </c>
      <c r="D441" s="6" t="n">
        <f aca="false">YEAR(C441)</f>
        <v>2025</v>
      </c>
      <c r="E441" s="7" t="n">
        <v>60.1927</v>
      </c>
      <c r="F441" s="7" t="n">
        <v>541.7345</v>
      </c>
      <c r="G441" s="3" t="n">
        <f aca="false">E441+F441</f>
        <v>601.9272</v>
      </c>
      <c r="H441" s="2" t="n">
        <v>0</v>
      </c>
      <c r="I441" s="2" t="n">
        <v>0</v>
      </c>
      <c r="J441" s="2" t="n">
        <v>1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/>
      <c r="R441" s="2"/>
      <c r="S441" s="2" t="s">
        <v>783</v>
      </c>
    </row>
    <row r="442" customFormat="false" ht="15" hidden="false" customHeight="false" outlineLevel="0" collapsed="false">
      <c r="A442" s="2" t="s">
        <v>1007</v>
      </c>
      <c r="B442" s="2" t="s">
        <v>1008</v>
      </c>
      <c r="C442" s="5" t="n">
        <v>46021</v>
      </c>
      <c r="D442" s="6" t="n">
        <f aca="false">YEAR(C442)</f>
        <v>2025</v>
      </c>
      <c r="E442" s="7" t="n">
        <v>146.2536</v>
      </c>
      <c r="F442" s="7" t="n">
        <v>584.99</v>
      </c>
      <c r="G442" s="3" t="n">
        <f aca="false">E442+F442</f>
        <v>731.2436</v>
      </c>
      <c r="H442" s="2" t="n">
        <v>0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/>
      <c r="R442" s="2"/>
      <c r="S442" s="2" t="s">
        <v>783</v>
      </c>
    </row>
    <row r="443" customFormat="false" ht="15" hidden="false" customHeight="false" outlineLevel="0" collapsed="false">
      <c r="A443" s="2" t="s">
        <v>1009</v>
      </c>
      <c r="B443" s="2" t="s">
        <v>1010</v>
      </c>
      <c r="C443" s="5" t="n">
        <v>46021</v>
      </c>
      <c r="D443" s="6" t="n">
        <f aca="false">YEAR(C443)</f>
        <v>2025</v>
      </c>
      <c r="E443" s="7" t="n">
        <v>227.7415</v>
      </c>
      <c r="F443" s="7" t="n">
        <v>2391.1592</v>
      </c>
      <c r="G443" s="3" t="n">
        <f aca="false">E443+F443</f>
        <v>2618.9007</v>
      </c>
      <c r="H443" s="2" t="n">
        <v>0</v>
      </c>
      <c r="I443" s="2" t="n">
        <v>0</v>
      </c>
      <c r="J443" s="2" t="n">
        <v>1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/>
      <c r="R443" s="2"/>
      <c r="S443" s="2" t="s">
        <v>783</v>
      </c>
    </row>
    <row r="444" customFormat="false" ht="15" hidden="false" customHeight="false" outlineLevel="0" collapsed="false">
      <c r="A444" s="2" t="s">
        <v>161</v>
      </c>
      <c r="B444" s="2" t="s">
        <v>1011</v>
      </c>
      <c r="C444" s="5" t="n">
        <v>46021</v>
      </c>
      <c r="D444" s="6" t="n">
        <f aca="false">YEAR(C444)</f>
        <v>2025</v>
      </c>
      <c r="E444" s="7" t="n">
        <v>164.0057</v>
      </c>
      <c r="F444" s="7" t="n">
        <v>1707.2744</v>
      </c>
      <c r="G444" s="3" t="n">
        <f aca="false">E444+F444</f>
        <v>1871.2801</v>
      </c>
      <c r="H444" s="2" t="n">
        <v>0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/>
      <c r="R444" s="2"/>
      <c r="S444" s="2" t="s">
        <v>783</v>
      </c>
    </row>
    <row r="445" customFormat="false" ht="15" hidden="false" customHeight="false" outlineLevel="0" collapsed="false">
      <c r="A445" s="2" t="s">
        <v>1012</v>
      </c>
      <c r="B445" s="2" t="s">
        <v>1013</v>
      </c>
      <c r="C445" s="5" t="n">
        <v>46021</v>
      </c>
      <c r="D445" s="6" t="n">
        <f aca="false">YEAR(C445)</f>
        <v>2025</v>
      </c>
      <c r="E445" s="7" t="n">
        <v>108.6175</v>
      </c>
      <c r="F445" s="7" t="n">
        <v>1140.4776</v>
      </c>
      <c r="G445" s="3" t="n">
        <f aca="false">E445+F445</f>
        <v>1249.0951</v>
      </c>
      <c r="H445" s="2" t="n">
        <v>0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/>
      <c r="R445" s="2"/>
      <c r="S445" s="2" t="s">
        <v>783</v>
      </c>
    </row>
    <row r="446" customFormat="false" ht="15" hidden="false" customHeight="false" outlineLevel="0" collapsed="false">
      <c r="A446" s="2" t="s">
        <v>1014</v>
      </c>
      <c r="B446" s="2" t="s">
        <v>1015</v>
      </c>
      <c r="C446" s="5" t="n">
        <v>46021</v>
      </c>
      <c r="D446" s="6" t="n">
        <f aca="false">YEAR(C446)</f>
        <v>2025</v>
      </c>
      <c r="E446" s="7" t="n">
        <v>108</v>
      </c>
      <c r="F446" s="7" t="n">
        <v>981.3312</v>
      </c>
      <c r="G446" s="3" t="n">
        <f aca="false">E446+F446</f>
        <v>1089.3312</v>
      </c>
      <c r="H446" s="2" t="n">
        <v>0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/>
      <c r="R446" s="2"/>
      <c r="S446" s="2" t="s">
        <v>783</v>
      </c>
    </row>
    <row r="447" customFormat="false" ht="15" hidden="false" customHeight="false" outlineLevel="0" collapsed="false">
      <c r="A447" s="2" t="s">
        <v>1016</v>
      </c>
      <c r="B447" s="2" t="s">
        <v>1017</v>
      </c>
      <c r="C447" s="5" t="n">
        <v>46021</v>
      </c>
      <c r="D447" s="6" t="n">
        <f aca="false">YEAR(C447)</f>
        <v>2025</v>
      </c>
      <c r="E447" s="7" t="n">
        <v>17.466</v>
      </c>
      <c r="F447" s="7" t="n">
        <v>157.194</v>
      </c>
      <c r="G447" s="3" t="n">
        <f aca="false">E447+F447</f>
        <v>174.66</v>
      </c>
      <c r="H447" s="2" t="n">
        <v>0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1</v>
      </c>
      <c r="Q447" s="2"/>
      <c r="R447" s="2"/>
      <c r="S447" s="2" t="s">
        <v>783</v>
      </c>
    </row>
    <row r="448" customFormat="false" ht="15" hidden="false" customHeight="false" outlineLevel="0" collapsed="false">
      <c r="A448" s="2" t="s">
        <v>1018</v>
      </c>
      <c r="B448" s="2" t="s">
        <v>1019</v>
      </c>
      <c r="C448" s="5" t="n">
        <v>46024</v>
      </c>
      <c r="D448" s="6" t="n">
        <f aca="false">YEAR(C448)</f>
        <v>2026</v>
      </c>
      <c r="E448" s="7" t="n">
        <v>970.9566</v>
      </c>
      <c r="F448" s="7" t="n">
        <v>5449.4821</v>
      </c>
      <c r="G448" s="3" t="n">
        <f aca="false">E448+F448</f>
        <v>6420.4387</v>
      </c>
      <c r="H448" s="2" t="n">
        <v>0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/>
      <c r="R448" s="2" t="s">
        <v>113</v>
      </c>
      <c r="S448" s="2" t="s">
        <v>1020</v>
      </c>
    </row>
    <row r="449" customFormat="false" ht="15" hidden="false" customHeight="false" outlineLevel="0" collapsed="false">
      <c r="A449" s="2" t="s">
        <v>1021</v>
      </c>
      <c r="B449" s="2" t="s">
        <v>1022</v>
      </c>
      <c r="C449" s="5" t="n">
        <v>46030</v>
      </c>
      <c r="D449" s="6" t="n">
        <f aca="false">YEAR(C449)</f>
        <v>2026</v>
      </c>
      <c r="E449" s="7" t="n">
        <v>869.6292</v>
      </c>
      <c r="F449" s="7" t="n">
        <v>4130.7357</v>
      </c>
      <c r="G449" s="3" t="n">
        <f aca="false">E449+F449</f>
        <v>5000.3649</v>
      </c>
      <c r="H449" s="2" t="n">
        <v>0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/>
      <c r="R449" s="2" t="s">
        <v>112</v>
      </c>
      <c r="S449" s="2" t="s">
        <v>1020</v>
      </c>
    </row>
    <row r="450" customFormat="false" ht="15" hidden="false" customHeight="false" outlineLevel="0" collapsed="false">
      <c r="A450" s="2" t="s">
        <v>1023</v>
      </c>
      <c r="B450" s="2" t="s">
        <v>1024</v>
      </c>
      <c r="C450" s="5" t="n">
        <v>46030</v>
      </c>
      <c r="D450" s="6" t="n">
        <f aca="false">YEAR(C450)</f>
        <v>2026</v>
      </c>
      <c r="E450" s="7" t="n">
        <v>367.7467</v>
      </c>
      <c r="F450" s="7" t="n">
        <v>3309.6916</v>
      </c>
      <c r="G450" s="3" t="n">
        <f aca="false">E450+F450</f>
        <v>3677.4383</v>
      </c>
      <c r="H450" s="2" t="n">
        <v>0</v>
      </c>
      <c r="I450" s="2" t="n">
        <v>0</v>
      </c>
      <c r="J450" s="2" t="n">
        <v>0</v>
      </c>
      <c r="K450" s="2" t="n">
        <v>0</v>
      </c>
      <c r="L450" s="2" t="n">
        <v>1</v>
      </c>
      <c r="M450" s="2" t="n">
        <v>0</v>
      </c>
      <c r="N450" s="2" t="n">
        <v>0</v>
      </c>
      <c r="O450" s="2" t="n">
        <v>0</v>
      </c>
      <c r="P450" s="2" t="n">
        <v>0</v>
      </c>
      <c r="Q450" s="2"/>
      <c r="R450" s="2"/>
      <c r="S450" s="2" t="s">
        <v>1020</v>
      </c>
    </row>
    <row r="451" customFormat="false" ht="15" hidden="false" customHeight="false" outlineLevel="0" collapsed="false">
      <c r="A451" s="2" t="s">
        <v>1025</v>
      </c>
      <c r="B451" s="2" t="s">
        <v>1026</v>
      </c>
      <c r="C451" s="5" t="n">
        <v>46030</v>
      </c>
      <c r="D451" s="6" t="n">
        <f aca="false">YEAR(C451)</f>
        <v>2026</v>
      </c>
      <c r="E451" s="7" t="n">
        <v>119.8743</v>
      </c>
      <c r="F451" s="7" t="n">
        <v>1258.6386</v>
      </c>
      <c r="G451" s="3" t="n">
        <f aca="false">E451+F451</f>
        <v>1378.5129</v>
      </c>
      <c r="H451" s="2" t="n">
        <v>1</v>
      </c>
      <c r="I451" s="2" t="n">
        <v>0</v>
      </c>
      <c r="J451" s="2" t="n">
        <v>1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/>
      <c r="R451" s="2"/>
      <c r="S451" s="2" t="s">
        <v>1020</v>
      </c>
    </row>
    <row r="452" customFormat="false" ht="15" hidden="false" customHeight="false" outlineLevel="0" collapsed="false">
      <c r="A452" s="2" t="s">
        <v>1027</v>
      </c>
      <c r="B452" s="2" t="s">
        <v>1028</v>
      </c>
      <c r="C452" s="5" t="n">
        <v>46031</v>
      </c>
      <c r="D452" s="6" t="n">
        <f aca="false">YEAR(C452)</f>
        <v>2026</v>
      </c>
      <c r="E452" s="7" t="n">
        <v>837.8469</v>
      </c>
      <c r="F452" s="7" t="n">
        <v>4702.3977</v>
      </c>
      <c r="G452" s="3" t="n">
        <f aca="false">E452+F452</f>
        <v>5540.2446</v>
      </c>
      <c r="H452" s="2" t="n">
        <v>0</v>
      </c>
      <c r="I452" s="2" t="n">
        <v>1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/>
      <c r="R452" s="2" t="s">
        <v>112</v>
      </c>
      <c r="S452" s="2" t="s">
        <v>1020</v>
      </c>
    </row>
    <row r="453" customFormat="false" ht="15" hidden="false" customHeight="false" outlineLevel="0" collapsed="false">
      <c r="A453" s="2" t="s">
        <v>1029</v>
      </c>
      <c r="B453" s="2" t="s">
        <v>1030</v>
      </c>
      <c r="C453" s="5" t="n">
        <v>46031</v>
      </c>
      <c r="D453" s="6" t="n">
        <f aca="false">YEAR(C453)</f>
        <v>2026</v>
      </c>
      <c r="E453" s="7" t="n">
        <v>159.3479</v>
      </c>
      <c r="F453" s="7" t="n">
        <v>1947.9659</v>
      </c>
      <c r="G453" s="3" t="n">
        <f aca="false">E453+F453</f>
        <v>2107.3138</v>
      </c>
      <c r="H453" s="2" t="n">
        <v>1</v>
      </c>
      <c r="I453" s="2" t="n">
        <v>0</v>
      </c>
      <c r="J453" s="2" t="n">
        <v>1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/>
      <c r="R453" s="2"/>
      <c r="S453" s="2" t="s">
        <v>1020</v>
      </c>
    </row>
    <row r="454" customFormat="false" ht="15" hidden="false" customHeight="false" outlineLevel="0" collapsed="false">
      <c r="A454" s="2" t="s">
        <v>1031</v>
      </c>
      <c r="B454" s="2" t="s">
        <v>1032</v>
      </c>
      <c r="C454" s="5" t="n">
        <v>46031</v>
      </c>
      <c r="D454" s="6" t="n">
        <f aca="false">YEAR(C454)</f>
        <v>2026</v>
      </c>
      <c r="E454" s="7" t="n">
        <v>110.298</v>
      </c>
      <c r="F454" s="7" t="n">
        <v>1158.114</v>
      </c>
      <c r="G454" s="3" t="n">
        <f aca="false">E454+F454</f>
        <v>1268.412</v>
      </c>
      <c r="H454" s="2" t="n">
        <v>0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/>
      <c r="R454" s="2"/>
      <c r="S454" s="2" t="s">
        <v>1020</v>
      </c>
    </row>
    <row r="455" customFormat="false" ht="15" hidden="false" customHeight="false" outlineLevel="0" collapsed="false">
      <c r="A455" s="2" t="s">
        <v>1033</v>
      </c>
      <c r="B455" s="2" t="s">
        <v>1034</v>
      </c>
      <c r="C455" s="5" t="n">
        <v>46034</v>
      </c>
      <c r="D455" s="6" t="n">
        <f aca="false">YEAR(C455)</f>
        <v>2026</v>
      </c>
      <c r="E455" s="7" t="n">
        <v>479.984</v>
      </c>
      <c r="F455" s="7" t="n">
        <v>4837.6833</v>
      </c>
      <c r="G455" s="3" t="n">
        <f aca="false">E455+F455</f>
        <v>5317.6673</v>
      </c>
      <c r="H455" s="2" t="n">
        <v>0</v>
      </c>
      <c r="I455" s="2" t="n">
        <v>0</v>
      </c>
      <c r="J455" s="2" t="n">
        <v>0</v>
      </c>
      <c r="K455" s="2" t="n">
        <v>0</v>
      </c>
      <c r="L455" s="2" t="n">
        <v>1</v>
      </c>
      <c r="M455" s="2" t="n">
        <v>0</v>
      </c>
      <c r="N455" s="2" t="n">
        <v>0</v>
      </c>
      <c r="O455" s="2" t="n">
        <v>0</v>
      </c>
      <c r="P455" s="2" t="n">
        <v>0</v>
      </c>
      <c r="Q455" s="2"/>
      <c r="R455" s="2"/>
      <c r="S455" s="2" t="s">
        <v>1020</v>
      </c>
    </row>
    <row r="456" customFormat="false" ht="15" hidden="false" customHeight="false" outlineLevel="0" collapsed="false">
      <c r="A456" s="2" t="s">
        <v>1035</v>
      </c>
      <c r="B456" s="2" t="s">
        <v>1036</v>
      </c>
      <c r="C456" s="5" t="n">
        <v>46035</v>
      </c>
      <c r="D456" s="6" t="n">
        <f aca="false">YEAR(C456)</f>
        <v>2026</v>
      </c>
      <c r="E456" s="7" t="n">
        <v>468.4392</v>
      </c>
      <c r="F456" s="7" t="n">
        <v>4918.563</v>
      </c>
      <c r="G456" s="3" t="n">
        <f aca="false">E456+F456</f>
        <v>5387.0022</v>
      </c>
      <c r="H456" s="2" t="n">
        <v>0</v>
      </c>
      <c r="I456" s="2" t="n">
        <v>0</v>
      </c>
      <c r="J456" s="2" t="n">
        <v>0</v>
      </c>
      <c r="K456" s="2" t="n">
        <v>0</v>
      </c>
      <c r="L456" s="2" t="n">
        <v>1</v>
      </c>
      <c r="M456" s="2" t="n">
        <v>0</v>
      </c>
      <c r="N456" s="2" t="n">
        <v>0</v>
      </c>
      <c r="O456" s="2" t="n">
        <v>0</v>
      </c>
      <c r="P456" s="2" t="n">
        <v>0</v>
      </c>
      <c r="Q456" s="2"/>
      <c r="R456" s="2"/>
      <c r="S456" s="2" t="s">
        <v>1020</v>
      </c>
    </row>
    <row r="457" customFormat="false" ht="15" hidden="false" customHeight="false" outlineLevel="0" collapsed="false">
      <c r="A457" s="2" t="s">
        <v>1037</v>
      </c>
      <c r="B457" s="2" t="s">
        <v>1038</v>
      </c>
      <c r="C457" s="5" t="n">
        <v>46035</v>
      </c>
      <c r="D457" s="6" t="n">
        <f aca="false">YEAR(C457)</f>
        <v>2026</v>
      </c>
      <c r="E457" s="7" t="n">
        <v>28.5229</v>
      </c>
      <c r="F457" s="7" t="n">
        <v>256.6815</v>
      </c>
      <c r="G457" s="3" t="n">
        <f aca="false">E457+F457</f>
        <v>285.2044</v>
      </c>
      <c r="H457" s="2" t="n">
        <v>0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/>
      <c r="R457" s="2"/>
      <c r="S457" s="2" t="s">
        <v>1020</v>
      </c>
    </row>
    <row r="458" customFormat="false" ht="15" hidden="false" customHeight="false" outlineLevel="0" collapsed="false">
      <c r="A458" s="2" t="s">
        <v>1039</v>
      </c>
      <c r="B458" s="2" t="s">
        <v>1040</v>
      </c>
      <c r="C458" s="5" t="n">
        <v>46044</v>
      </c>
      <c r="D458" s="6" t="n">
        <f aca="false">YEAR(C458)</f>
        <v>2026</v>
      </c>
      <c r="E458" s="7" t="n">
        <v>162.006</v>
      </c>
      <c r="F458" s="7" t="n">
        <v>1458.0261</v>
      </c>
      <c r="G458" s="3" t="n">
        <f aca="false">E458+F458</f>
        <v>1620.0321</v>
      </c>
      <c r="H458" s="2" t="n">
        <v>0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/>
      <c r="R458" s="2"/>
      <c r="S458" s="2" t="s">
        <v>1020</v>
      </c>
    </row>
    <row r="459" customFormat="false" ht="15" hidden="false" customHeight="false" outlineLevel="0" collapsed="false">
      <c r="A459" s="2" t="s">
        <v>1041</v>
      </c>
      <c r="B459" s="2" t="s">
        <v>1042</v>
      </c>
      <c r="C459" s="5" t="n">
        <v>46050</v>
      </c>
      <c r="D459" s="6" t="n">
        <f aca="false">YEAR(C459)</f>
        <v>2026</v>
      </c>
      <c r="E459" s="7" t="n">
        <v>333.6533</v>
      </c>
      <c r="F459" s="7" t="n">
        <v>3886.7702</v>
      </c>
      <c r="G459" s="3" t="n">
        <f aca="false">E459+F459</f>
        <v>4220.4235</v>
      </c>
      <c r="H459" s="2" t="n">
        <v>0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/>
      <c r="R459" s="2"/>
      <c r="S459" s="2" t="s">
        <v>1020</v>
      </c>
    </row>
    <row r="460" customFormat="false" ht="15" hidden="false" customHeight="false" outlineLevel="0" collapsed="false">
      <c r="A460" s="2" t="s">
        <v>1043</v>
      </c>
      <c r="B460" s="2" t="s">
        <v>1044</v>
      </c>
      <c r="C460" s="5" t="n">
        <v>46056</v>
      </c>
      <c r="D460" s="6" t="n">
        <f aca="false">YEAR(C460)</f>
        <v>2026</v>
      </c>
      <c r="E460" s="7" t="n">
        <v>1014.072</v>
      </c>
      <c r="F460" s="7" t="n">
        <v>10085.3416</v>
      </c>
      <c r="G460" s="3" t="n">
        <f aca="false">E460+F460</f>
        <v>11099.4136</v>
      </c>
      <c r="H460" s="2" t="n">
        <v>0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/>
      <c r="R460" s="2"/>
      <c r="S460" s="2" t="s">
        <v>1020</v>
      </c>
    </row>
    <row r="461" customFormat="false" ht="15" hidden="false" customHeight="false" outlineLevel="0" collapsed="false">
      <c r="A461" s="2" t="s">
        <v>1045</v>
      </c>
      <c r="B461" s="2" t="s">
        <v>1046</v>
      </c>
      <c r="C461" s="5" t="n">
        <v>46057</v>
      </c>
      <c r="D461" s="6" t="n">
        <f aca="false">YEAR(C461)</f>
        <v>2026</v>
      </c>
      <c r="E461" s="7" t="n">
        <v>108</v>
      </c>
      <c r="F461" s="7" t="n">
        <v>972</v>
      </c>
      <c r="G461" s="3" t="n">
        <f aca="false">E461+F461</f>
        <v>1080</v>
      </c>
      <c r="H461" s="2" t="n">
        <v>0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/>
      <c r="R461" s="2"/>
      <c r="S461" s="2" t="s">
        <v>1020</v>
      </c>
    </row>
    <row r="462" customFormat="false" ht="15" hidden="false" customHeight="false" outlineLevel="0" collapsed="false">
      <c r="A462" s="2" t="s">
        <v>1047</v>
      </c>
      <c r="B462" s="2" t="s">
        <v>1048</v>
      </c>
      <c r="C462" s="5" t="n">
        <v>46059</v>
      </c>
      <c r="D462" s="6" t="n">
        <f aca="false">YEAR(C462)</f>
        <v>2026</v>
      </c>
      <c r="E462" s="7" t="n">
        <v>28.4525</v>
      </c>
      <c r="F462" s="7" t="n">
        <v>267.8189</v>
      </c>
      <c r="G462" s="3" t="n">
        <f aca="false">E462+F462</f>
        <v>296.2714</v>
      </c>
      <c r="H462" s="2" t="n">
        <v>0</v>
      </c>
      <c r="I462" s="2" t="n">
        <v>0</v>
      </c>
      <c r="J462" s="2" t="n">
        <v>1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/>
      <c r="R462" s="2"/>
      <c r="S462" s="2" t="s">
        <v>1020</v>
      </c>
    </row>
    <row r="463" customFormat="false" ht="15" hidden="false" customHeight="false" outlineLevel="0" collapsed="false">
      <c r="A463" s="2" t="s">
        <v>1049</v>
      </c>
      <c r="B463" s="2" t="s">
        <v>1050</v>
      </c>
      <c r="C463" s="5" t="n">
        <v>46059</v>
      </c>
      <c r="D463" s="6" t="n">
        <f aca="false">YEAR(C463)</f>
        <v>2026</v>
      </c>
      <c r="E463" s="7" t="n">
        <v>1068.4128</v>
      </c>
      <c r="F463" s="7" t="n">
        <v>11030.2881</v>
      </c>
      <c r="G463" s="3" t="n">
        <f aca="false">E463+F463</f>
        <v>12098.7009</v>
      </c>
      <c r="H463" s="2" t="n">
        <v>0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/>
      <c r="R463" s="2"/>
      <c r="S463" s="2" t="s">
        <v>1020</v>
      </c>
    </row>
    <row r="464" customFormat="false" ht="15" hidden="false" customHeight="false" outlineLevel="0" collapsed="false">
      <c r="A464" s="2" t="s">
        <v>1051</v>
      </c>
      <c r="B464" s="2" t="s">
        <v>1052</v>
      </c>
      <c r="C464" s="5" t="n">
        <v>46059</v>
      </c>
      <c r="D464" s="6" t="n">
        <f aca="false">YEAR(C464)</f>
        <v>2026</v>
      </c>
      <c r="E464" s="7" t="n">
        <v>483.3302</v>
      </c>
      <c r="F464" s="7" t="n">
        <v>5074.9379</v>
      </c>
      <c r="G464" s="3" t="n">
        <f aca="false">E464+F464</f>
        <v>5558.2681</v>
      </c>
      <c r="H464" s="2" t="n">
        <v>0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/>
      <c r="R464" s="2"/>
      <c r="S464" s="2" t="s">
        <v>1020</v>
      </c>
    </row>
    <row r="465" customFormat="false" ht="15" hidden="false" customHeight="false" outlineLevel="0" collapsed="false">
      <c r="A465" s="2" t="s">
        <v>1053</v>
      </c>
      <c r="B465" s="2" t="s">
        <v>1054</v>
      </c>
      <c r="C465" s="5" t="n">
        <v>46062</v>
      </c>
      <c r="D465" s="6" t="n">
        <f aca="false">YEAR(C465)</f>
        <v>2026</v>
      </c>
      <c r="E465" s="7" t="n">
        <v>704.2982</v>
      </c>
      <c r="F465" s="7" t="n">
        <v>7395.1312</v>
      </c>
      <c r="G465" s="3" t="n">
        <f aca="false">E465+F465</f>
        <v>8099.4294</v>
      </c>
      <c r="H465" s="2" t="n">
        <v>0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/>
      <c r="R465" s="2"/>
      <c r="S465" s="2" t="s">
        <v>1020</v>
      </c>
    </row>
    <row r="466" customFormat="false" ht="15" hidden="false" customHeight="false" outlineLevel="0" collapsed="false">
      <c r="A466" s="2" t="s">
        <v>1055</v>
      </c>
      <c r="B466" s="2" t="s">
        <v>1056</v>
      </c>
      <c r="C466" s="5" t="n">
        <v>46063</v>
      </c>
      <c r="D466" s="6" t="n">
        <f aca="false">YEAR(C466)</f>
        <v>2026</v>
      </c>
      <c r="E466" s="7" t="n">
        <v>295.8631</v>
      </c>
      <c r="F466" s="7" t="n">
        <v>2695.9115</v>
      </c>
      <c r="G466" s="3" t="n">
        <f aca="false">E466+F466</f>
        <v>2991.7746</v>
      </c>
      <c r="H466" s="2" t="n">
        <v>0</v>
      </c>
      <c r="I466" s="2" t="n">
        <v>0</v>
      </c>
      <c r="J466" s="2" t="n">
        <v>0</v>
      </c>
      <c r="K466" s="2" t="n">
        <v>0</v>
      </c>
      <c r="L466" s="2" t="n">
        <v>1</v>
      </c>
      <c r="M466" s="2" t="n">
        <v>0</v>
      </c>
      <c r="N466" s="2" t="n">
        <v>0</v>
      </c>
      <c r="O466" s="2" t="n">
        <v>0</v>
      </c>
      <c r="P466" s="2" t="n">
        <v>0</v>
      </c>
      <c r="Q466" s="2"/>
      <c r="R466" s="2"/>
      <c r="S466" s="2" t="s">
        <v>1020</v>
      </c>
    </row>
    <row r="467" customFormat="false" ht="15" hidden="false" customHeight="false" outlineLevel="0" collapsed="false">
      <c r="A467" s="2" t="s">
        <v>1057</v>
      </c>
      <c r="B467" s="2" t="s">
        <v>1058</v>
      </c>
      <c r="C467" s="5" t="n">
        <v>46063</v>
      </c>
      <c r="D467" s="6" t="n">
        <f aca="false">YEAR(C467)</f>
        <v>2026</v>
      </c>
      <c r="E467" s="7" t="n">
        <v>34.5511</v>
      </c>
      <c r="F467" s="7" t="n">
        <v>310.9601</v>
      </c>
      <c r="G467" s="3" t="n">
        <f aca="false">E467+F467</f>
        <v>345.5112</v>
      </c>
      <c r="H467" s="2" t="n">
        <v>0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/>
      <c r="R467" s="2"/>
      <c r="S467" s="2" t="s">
        <v>1020</v>
      </c>
    </row>
    <row r="468" customFormat="false" ht="15" hidden="false" customHeight="false" outlineLevel="0" collapsed="false">
      <c r="A468" s="2" t="s">
        <v>1059</v>
      </c>
      <c r="B468" s="2" t="s">
        <v>1060</v>
      </c>
      <c r="C468" s="5" t="n">
        <v>46064</v>
      </c>
      <c r="D468" s="6" t="n">
        <f aca="false">YEAR(C468)</f>
        <v>2026</v>
      </c>
      <c r="E468" s="7" t="n">
        <v>428.7613</v>
      </c>
      <c r="F468" s="7" t="n">
        <v>4520.3134</v>
      </c>
      <c r="G468" s="3" t="n">
        <f aca="false">E468+F468</f>
        <v>4949.0747</v>
      </c>
      <c r="H468" s="2" t="n">
        <v>0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/>
      <c r="R468" s="2"/>
      <c r="S468" s="2" t="s">
        <v>1020</v>
      </c>
    </row>
    <row r="469" customFormat="false" ht="15" hidden="false" customHeight="false" outlineLevel="0" collapsed="false">
      <c r="A469" s="2" t="s">
        <v>1061</v>
      </c>
      <c r="B469" s="2" t="s">
        <v>1062</v>
      </c>
      <c r="C469" s="5" t="n">
        <v>46066</v>
      </c>
      <c r="D469" s="6" t="n">
        <f aca="false">YEAR(C469)</f>
        <v>2026</v>
      </c>
      <c r="E469" s="7" t="n">
        <v>75.8546</v>
      </c>
      <c r="F469" s="7" t="n">
        <v>682.6426</v>
      </c>
      <c r="G469" s="3" t="n">
        <f aca="false">E469+F469</f>
        <v>758.4972</v>
      </c>
      <c r="H469" s="2" t="n">
        <v>0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/>
      <c r="R469" s="2"/>
      <c r="S469" s="2" t="s">
        <v>1020</v>
      </c>
    </row>
    <row r="470" customFormat="false" ht="15" hidden="false" customHeight="false" outlineLevel="0" collapsed="false">
      <c r="A470" s="2" t="s">
        <v>1063</v>
      </c>
      <c r="B470" s="2" t="s">
        <v>1064</v>
      </c>
      <c r="C470" s="5" t="n">
        <v>46066</v>
      </c>
      <c r="D470" s="6" t="n">
        <f aca="false">YEAR(C470)</f>
        <v>2026</v>
      </c>
      <c r="E470" s="7" t="n">
        <v>281.2399</v>
      </c>
      <c r="F470" s="7" t="n">
        <v>2531.1351</v>
      </c>
      <c r="G470" s="3" t="n">
        <f aca="false">E470+F470</f>
        <v>2812.375</v>
      </c>
      <c r="H470" s="2" t="n">
        <v>0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/>
      <c r="R470" s="2"/>
      <c r="S470" s="2" t="s">
        <v>1020</v>
      </c>
    </row>
    <row r="471" customFormat="false" ht="15" hidden="false" customHeight="false" outlineLevel="0" collapsed="false">
      <c r="A471" s="2" t="s">
        <v>1065</v>
      </c>
      <c r="B471" s="2" t="s">
        <v>1066</v>
      </c>
      <c r="C471" s="5" t="n">
        <v>46090</v>
      </c>
      <c r="D471" s="6" t="n">
        <f aca="false">YEAR(C471)</f>
        <v>2026</v>
      </c>
      <c r="E471" s="7" t="n">
        <v>22.374</v>
      </c>
      <c r="F471" s="7" t="n">
        <v>201.322</v>
      </c>
      <c r="G471" s="3" t="n">
        <f aca="false">E471+F471</f>
        <v>223.696</v>
      </c>
      <c r="H471" s="2" t="n">
        <v>0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/>
      <c r="R471" s="2"/>
      <c r="S471" s="2" t="s">
        <v>1020</v>
      </c>
    </row>
    <row r="472" customFormat="false" ht="15" hidden="false" customHeight="false" outlineLevel="0" collapsed="false">
      <c r="A472" s="2" t="s">
        <v>1067</v>
      </c>
      <c r="B472" s="2" t="s">
        <v>1068</v>
      </c>
      <c r="C472" s="5" t="n">
        <v>46090</v>
      </c>
      <c r="D472" s="6" t="n">
        <f aca="false">YEAR(C472)</f>
        <v>2026</v>
      </c>
      <c r="E472" s="7" t="n">
        <v>148.6541</v>
      </c>
      <c r="F472" s="7" t="n">
        <v>1337.8867</v>
      </c>
      <c r="G472" s="3" t="n">
        <f aca="false">E472+F472</f>
        <v>1486.5408</v>
      </c>
      <c r="H472" s="2" t="n">
        <v>0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/>
      <c r="R472" s="2"/>
      <c r="S472" s="2" t="s">
        <v>1020</v>
      </c>
    </row>
    <row r="473" customFormat="false" ht="15" hidden="false" customHeight="false" outlineLevel="0" collapsed="false">
      <c r="A473" s="2" t="s">
        <v>1069</v>
      </c>
      <c r="B473" s="2" t="s">
        <v>1070</v>
      </c>
      <c r="C473" s="5" t="n">
        <v>46090</v>
      </c>
      <c r="D473" s="6" t="n">
        <f aca="false">YEAR(C473)</f>
        <v>2026</v>
      </c>
      <c r="E473" s="7" t="n">
        <v>190.6669</v>
      </c>
      <c r="F473" s="7" t="n">
        <v>1715.952</v>
      </c>
      <c r="G473" s="3" t="n">
        <f aca="false">E473+F473</f>
        <v>1906.6189</v>
      </c>
      <c r="H473" s="2" t="n">
        <v>0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/>
      <c r="R473" s="2"/>
      <c r="S473" s="2" t="s">
        <v>1020</v>
      </c>
    </row>
    <row r="474" customFormat="false" ht="15" hidden="false" customHeight="false" outlineLevel="0" collapsed="false">
      <c r="A474" s="2" t="s">
        <v>1071</v>
      </c>
      <c r="B474" s="2" t="s">
        <v>1072</v>
      </c>
      <c r="C474" s="5" t="n">
        <v>46091</v>
      </c>
      <c r="D474" s="6" t="n">
        <f aca="false">YEAR(C474)</f>
        <v>2026</v>
      </c>
      <c r="E474" s="7" t="n">
        <v>101.01</v>
      </c>
      <c r="F474" s="7" t="n">
        <v>1060.605</v>
      </c>
      <c r="G474" s="3" t="n">
        <f aca="false">E474+F474</f>
        <v>1161.615</v>
      </c>
      <c r="H474" s="2" t="n">
        <v>0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/>
      <c r="R474" s="2"/>
      <c r="S474" s="2" t="s">
        <v>1020</v>
      </c>
    </row>
    <row r="475" customFormat="false" ht="15" hidden="false" customHeight="false" outlineLevel="0" collapsed="false">
      <c r="A475" s="2" t="s">
        <v>1073</v>
      </c>
      <c r="B475" s="2" t="s">
        <v>1074</v>
      </c>
      <c r="C475" s="5" t="n">
        <v>46100</v>
      </c>
      <c r="D475" s="6" t="n">
        <f aca="false">YEAR(C475)</f>
        <v>2026</v>
      </c>
      <c r="E475" s="7" t="n">
        <v>0</v>
      </c>
      <c r="F475" s="7" t="n">
        <v>0</v>
      </c>
      <c r="G475" s="3" t="n">
        <f aca="false">E475+F475</f>
        <v>0</v>
      </c>
      <c r="H475" s="2" t="n">
        <v>0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/>
      <c r="R475" s="2"/>
      <c r="S475" s="2" t="s">
        <v>1020</v>
      </c>
    </row>
    <row r="476" customFormat="false" ht="15" hidden="false" customHeight="false" outlineLevel="0" collapsed="false">
      <c r="A476" s="2" t="s">
        <v>1075</v>
      </c>
      <c r="B476" s="2" t="s">
        <v>1076</v>
      </c>
      <c r="C476" s="5" t="n">
        <v>46101</v>
      </c>
      <c r="D476" s="6" t="n">
        <f aca="false">YEAR(C476)</f>
        <v>2026</v>
      </c>
      <c r="E476" s="7" t="n">
        <v>330.648</v>
      </c>
      <c r="F476" s="7" t="n">
        <v>2975.832</v>
      </c>
      <c r="G476" s="3" t="n">
        <f aca="false">E476+F476</f>
        <v>3306.48</v>
      </c>
      <c r="H476" s="2" t="n">
        <v>0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/>
      <c r="R476" s="2"/>
      <c r="S476" s="2" t="s">
        <v>1020</v>
      </c>
    </row>
    <row r="477" customFormat="false" ht="15" hidden="false" customHeight="false" outlineLevel="0" collapsed="false">
      <c r="A477" s="2" t="s">
        <v>1077</v>
      </c>
      <c r="B477" s="2" t="s">
        <v>1078</v>
      </c>
      <c r="C477" s="5" t="n">
        <v>46104</v>
      </c>
      <c r="D477" s="6" t="n">
        <f aca="false">YEAR(C477)</f>
        <v>2026</v>
      </c>
      <c r="E477" s="7" t="n">
        <v>102.6</v>
      </c>
      <c r="F477" s="7" t="n">
        <v>923.4</v>
      </c>
      <c r="G477" s="3" t="n">
        <f aca="false">E477+F477</f>
        <v>1026</v>
      </c>
      <c r="H477" s="2" t="n">
        <v>0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/>
      <c r="R477" s="2"/>
      <c r="S477" s="2" t="s">
        <v>1020</v>
      </c>
    </row>
    <row r="478" customFormat="false" ht="15" hidden="false" customHeight="false" outlineLevel="0" collapsed="false">
      <c r="A478" s="2" t="s">
        <v>1079</v>
      </c>
      <c r="B478" s="2" t="s">
        <v>1080</v>
      </c>
      <c r="C478" s="5" t="n">
        <v>46104</v>
      </c>
      <c r="D478" s="6" t="n">
        <f aca="false">YEAR(C478)</f>
        <v>2026</v>
      </c>
      <c r="E478" s="7" t="n">
        <v>166.4</v>
      </c>
      <c r="F478" s="7" t="n">
        <v>1733.7091</v>
      </c>
      <c r="G478" s="3" t="n">
        <f aca="false">E478+F478</f>
        <v>1900.1091</v>
      </c>
      <c r="H478" s="2" t="n">
        <v>0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/>
      <c r="R478" s="2"/>
      <c r="S478" s="2" t="s">
        <v>1020</v>
      </c>
    </row>
    <row r="479" customFormat="false" ht="15" hidden="false" customHeight="false" outlineLevel="0" collapsed="false">
      <c r="A479" s="2" t="s">
        <v>1081</v>
      </c>
      <c r="B479" s="2" t="s">
        <v>1082</v>
      </c>
      <c r="C479" s="5" t="n">
        <v>46105</v>
      </c>
      <c r="D479" s="6" t="n">
        <f aca="false">YEAR(C479)</f>
        <v>2026</v>
      </c>
      <c r="E479" s="7" t="n">
        <v>71.7211</v>
      </c>
      <c r="F479" s="7" t="n">
        <v>645.4902</v>
      </c>
      <c r="G479" s="3" t="n">
        <f aca="false">E479+F479</f>
        <v>717.2113</v>
      </c>
      <c r="H479" s="2" t="n">
        <v>0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/>
      <c r="R479" s="2"/>
      <c r="S479" s="2" t="s">
        <v>1020</v>
      </c>
    </row>
    <row r="480" customFormat="false" ht="15" hidden="false" customHeight="false" outlineLevel="0" collapsed="false">
      <c r="A480" s="2" t="s">
        <v>1083</v>
      </c>
      <c r="B480" s="2" t="s">
        <v>1084</v>
      </c>
      <c r="C480" s="5" t="n">
        <v>46105</v>
      </c>
      <c r="D480" s="6" t="n">
        <f aca="false">YEAR(C480)</f>
        <v>2026</v>
      </c>
      <c r="E480" s="7" t="n">
        <v>61.3055</v>
      </c>
      <c r="F480" s="7" t="n">
        <v>551.7492</v>
      </c>
      <c r="G480" s="3" t="n">
        <f aca="false">E480+F480</f>
        <v>613.0547</v>
      </c>
      <c r="H480" s="2" t="n">
        <v>0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/>
      <c r="R480" s="2"/>
      <c r="S480" s="2" t="s">
        <v>1020</v>
      </c>
    </row>
    <row r="481" customFormat="false" ht="15" hidden="false" customHeight="false" outlineLevel="0" collapsed="false">
      <c r="A481" s="2" t="s">
        <v>1085</v>
      </c>
      <c r="B481" s="2" t="s">
        <v>1086</v>
      </c>
      <c r="C481" s="5" t="n">
        <v>46111</v>
      </c>
      <c r="D481" s="6" t="n">
        <f aca="false">YEAR(C481)</f>
        <v>2026</v>
      </c>
      <c r="E481" s="7" t="n">
        <v>274.669</v>
      </c>
      <c r="F481" s="7" t="n">
        <v>1533.6482</v>
      </c>
      <c r="G481" s="3" t="n">
        <f aca="false">E481+F481</f>
        <v>1808.3172</v>
      </c>
      <c r="H481" s="2" t="n">
        <v>0</v>
      </c>
      <c r="I481" s="2" t="n">
        <v>0</v>
      </c>
      <c r="J481" s="2" t="n">
        <v>0</v>
      </c>
      <c r="K481" s="2" t="n">
        <v>1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/>
      <c r="R481" s="2"/>
      <c r="S481" s="2" t="s">
        <v>1020</v>
      </c>
    </row>
    <row r="482" customFormat="false" ht="15" hidden="false" customHeight="false" outlineLevel="0" collapsed="false">
      <c r="A482" s="2" t="s">
        <v>1087</v>
      </c>
      <c r="B482" s="2" t="s">
        <v>1088</v>
      </c>
      <c r="C482" s="5" t="n">
        <v>46111</v>
      </c>
      <c r="D482" s="6" t="n">
        <f aca="false">YEAR(C482)</f>
        <v>2026</v>
      </c>
      <c r="E482" s="7" t="n">
        <v>79.195</v>
      </c>
      <c r="F482" s="7" t="n">
        <v>712.7257</v>
      </c>
      <c r="G482" s="3" t="n">
        <f aca="false">E482+F482</f>
        <v>791.9207</v>
      </c>
      <c r="H482" s="2" t="n">
        <v>1</v>
      </c>
      <c r="I482" s="2" t="n">
        <v>0</v>
      </c>
      <c r="J482" s="2" t="n">
        <v>1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/>
      <c r="R482" s="2"/>
      <c r="S482" s="2" t="s">
        <v>1020</v>
      </c>
    </row>
    <row r="483" customFormat="false" ht="15" hidden="false" customHeight="false" outlineLevel="0" collapsed="false">
      <c r="A483" s="2" t="s">
        <v>1089</v>
      </c>
      <c r="B483" s="2" t="s">
        <v>1090</v>
      </c>
      <c r="C483" s="5" t="n">
        <v>46111</v>
      </c>
      <c r="D483" s="6" t="n">
        <f aca="false">YEAR(C483)</f>
        <v>2026</v>
      </c>
      <c r="E483" s="7" t="n">
        <v>163.9018</v>
      </c>
      <c r="F483" s="7" t="n">
        <v>1475.0819</v>
      </c>
      <c r="G483" s="3" t="n">
        <f aca="false">E483+F483</f>
        <v>1638.9837</v>
      </c>
      <c r="H483" s="2" t="n">
        <v>0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/>
      <c r="R483" s="2"/>
      <c r="S483" s="2" t="s">
        <v>1020</v>
      </c>
    </row>
    <row r="484" customFormat="false" ht="15" hidden="false" customHeight="false" outlineLevel="0" collapsed="false">
      <c r="A484" s="2" t="s">
        <v>1091</v>
      </c>
      <c r="B484" s="2" t="s">
        <v>1092</v>
      </c>
      <c r="C484" s="5" t="n">
        <v>46111</v>
      </c>
      <c r="D484" s="6" t="n">
        <f aca="false">YEAR(C484)</f>
        <v>2026</v>
      </c>
      <c r="E484" s="7" t="n">
        <v>99.84</v>
      </c>
      <c r="F484" s="7" t="n">
        <v>399.36</v>
      </c>
      <c r="G484" s="3" t="n">
        <f aca="false">E484+F484</f>
        <v>499.2</v>
      </c>
      <c r="H484" s="2" t="n">
        <v>0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/>
      <c r="R484" s="2"/>
      <c r="S484" s="2" t="s">
        <v>1020</v>
      </c>
    </row>
    <row r="485" customFormat="false" ht="15" hidden="false" customHeight="false" outlineLevel="0" collapsed="false">
      <c r="A485" s="2" t="s">
        <v>1093</v>
      </c>
      <c r="B485" s="2" t="s">
        <v>1094</v>
      </c>
      <c r="C485" s="5" t="n">
        <v>46112</v>
      </c>
      <c r="D485" s="6" t="n">
        <f aca="false">YEAR(C485)</f>
        <v>2026</v>
      </c>
      <c r="E485" s="7" t="n">
        <v>66.66</v>
      </c>
      <c r="F485" s="7" t="n">
        <v>377.748</v>
      </c>
      <c r="G485" s="3" t="n">
        <f aca="false">E485+F485</f>
        <v>444.408</v>
      </c>
      <c r="H485" s="2" t="n">
        <v>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1</v>
      </c>
      <c r="O485" s="2" t="n">
        <v>0</v>
      </c>
      <c r="P485" s="2" t="n">
        <v>0</v>
      </c>
      <c r="Q485" s="2"/>
      <c r="R485" s="2"/>
      <c r="S485" s="2" t="s">
        <v>1020</v>
      </c>
    </row>
    <row r="486" customFormat="false" ht="15" hidden="false" customHeight="false" outlineLevel="0" collapsed="false">
      <c r="A486" s="2" t="s">
        <v>1095</v>
      </c>
      <c r="B486" s="2" t="s">
        <v>1096</v>
      </c>
      <c r="C486" s="5" t="n">
        <v>46112</v>
      </c>
      <c r="D486" s="6" t="n">
        <f aca="false">YEAR(C486)</f>
        <v>2026</v>
      </c>
      <c r="E486" s="7" t="n">
        <v>96</v>
      </c>
      <c r="F486" s="7" t="n">
        <v>384</v>
      </c>
      <c r="G486" s="3" t="n">
        <f aca="false">E486+F486</f>
        <v>480</v>
      </c>
      <c r="H486" s="2" t="n">
        <v>0</v>
      </c>
      <c r="I486" s="2" t="n">
        <v>0</v>
      </c>
      <c r="J486" s="2" t="n">
        <v>0</v>
      </c>
      <c r="K486" s="2" t="n">
        <v>0</v>
      </c>
      <c r="L486" s="2" t="n">
        <v>1</v>
      </c>
      <c r="M486" s="2" t="n">
        <v>0</v>
      </c>
      <c r="N486" s="2" t="n">
        <v>0</v>
      </c>
      <c r="O486" s="2" t="n">
        <v>0</v>
      </c>
      <c r="P486" s="2" t="n">
        <v>0</v>
      </c>
      <c r="Q486" s="2"/>
      <c r="R486" s="2"/>
      <c r="S486" s="2" t="s">
        <v>1020</v>
      </c>
    </row>
    <row r="487" customFormat="false" ht="15" hidden="false" customHeight="false" outlineLevel="0" collapsed="false">
      <c r="A487" s="2" t="s">
        <v>1097</v>
      </c>
      <c r="B487" s="2" t="s">
        <v>1098</v>
      </c>
      <c r="C487" s="5" t="n">
        <v>46128</v>
      </c>
      <c r="D487" s="6" t="n">
        <f aca="false">YEAR(C487)</f>
        <v>2026</v>
      </c>
      <c r="E487" s="7" t="n">
        <v>440.0691</v>
      </c>
      <c r="F487" s="7" t="n">
        <v>4620.6605</v>
      </c>
      <c r="G487" s="3" t="n">
        <f aca="false">E487+F487</f>
        <v>5060.7296</v>
      </c>
      <c r="H487" s="2" t="n">
        <v>0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1</v>
      </c>
      <c r="N487" s="2" t="n">
        <v>0</v>
      </c>
      <c r="O487" s="2" t="n">
        <v>0</v>
      </c>
      <c r="P487" s="2" t="n">
        <v>0</v>
      </c>
      <c r="Q487" s="2"/>
      <c r="R487" s="2"/>
      <c r="S487" s="2" t="s">
        <v>1020</v>
      </c>
    </row>
    <row r="488" customFormat="false" ht="15" hidden="false" customHeight="false" outlineLevel="0" collapsed="false">
      <c r="A488" s="2" t="s">
        <v>1099</v>
      </c>
      <c r="B488" s="2" t="s">
        <v>1100</v>
      </c>
      <c r="C488" s="5" t="n">
        <v>46129</v>
      </c>
      <c r="D488" s="6" t="n">
        <f aca="false">YEAR(C488)</f>
        <v>2026</v>
      </c>
      <c r="E488" s="7" t="n">
        <v>260.3965</v>
      </c>
      <c r="F488" s="7" t="n">
        <v>2734.1249</v>
      </c>
      <c r="G488" s="3" t="n">
        <f aca="false">E488+F488</f>
        <v>2994.5214</v>
      </c>
      <c r="H488" s="2" t="n">
        <v>0</v>
      </c>
      <c r="I488" s="2" t="n">
        <v>0</v>
      </c>
      <c r="J488" s="2" t="n">
        <v>0</v>
      </c>
      <c r="K488" s="2" t="n">
        <v>0</v>
      </c>
      <c r="L488" s="2" t="n">
        <v>1</v>
      </c>
      <c r="M488" s="2" t="n">
        <v>0</v>
      </c>
      <c r="N488" s="2" t="n">
        <v>0</v>
      </c>
      <c r="O488" s="2" t="n">
        <v>0</v>
      </c>
      <c r="P488" s="2" t="n">
        <v>0</v>
      </c>
      <c r="Q488" s="2"/>
      <c r="R488" s="2"/>
      <c r="S488" s="2" t="s">
        <v>1020</v>
      </c>
    </row>
    <row r="489" customFormat="false" ht="15" hidden="false" customHeight="false" outlineLevel="0" collapsed="false">
      <c r="A489" s="2" t="s">
        <v>1101</v>
      </c>
      <c r="B489" s="2" t="s">
        <v>1102</v>
      </c>
      <c r="C489" s="5" t="n">
        <v>46129</v>
      </c>
      <c r="D489" s="6" t="n">
        <f aca="false">YEAR(C489)</f>
        <v>2026</v>
      </c>
      <c r="E489" s="7" t="n">
        <v>122.3924</v>
      </c>
      <c r="F489" s="7" t="n">
        <v>1285.1092</v>
      </c>
      <c r="G489" s="3" t="n">
        <f aca="false">E489+F489</f>
        <v>1407.5016</v>
      </c>
      <c r="H489" s="2" t="n">
        <v>0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/>
      <c r="R489" s="2"/>
      <c r="S489" s="2" t="s">
        <v>1020</v>
      </c>
    </row>
    <row r="490" customFormat="false" ht="15" hidden="false" customHeight="false" outlineLevel="0" collapsed="false">
      <c r="A490" s="2" t="s">
        <v>1103</v>
      </c>
      <c r="B490" s="2" t="s">
        <v>1104</v>
      </c>
      <c r="C490" s="5" t="n">
        <v>46129</v>
      </c>
      <c r="D490" s="6" t="n">
        <f aca="false">YEAR(C490)</f>
        <v>2026</v>
      </c>
      <c r="E490" s="7" t="n">
        <v>0</v>
      </c>
      <c r="F490" s="7" t="n">
        <v>0</v>
      </c>
      <c r="G490" s="3" t="n">
        <f aca="false">E490+F490</f>
        <v>0</v>
      </c>
      <c r="H490" s="2" t="n">
        <v>0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/>
      <c r="R490" s="2"/>
      <c r="S490" s="2" t="s">
        <v>1020</v>
      </c>
    </row>
    <row r="491" customFormat="false" ht="15" hidden="false" customHeight="false" outlineLevel="0" collapsed="false">
      <c r="A491" s="2" t="s">
        <v>1105</v>
      </c>
      <c r="B491" s="2" t="s">
        <v>1106</v>
      </c>
      <c r="C491" s="5" t="n">
        <v>46133</v>
      </c>
      <c r="D491" s="6" t="n">
        <f aca="false">YEAR(C491)</f>
        <v>2026</v>
      </c>
      <c r="E491" s="7" t="n">
        <v>1749.3078</v>
      </c>
      <c r="F491" s="7" t="n">
        <v>21385.2399</v>
      </c>
      <c r="G491" s="3" t="n">
        <f aca="false">E491+F491</f>
        <v>23134.5477</v>
      </c>
      <c r="H491" s="2" t="n">
        <v>0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/>
      <c r="R491" s="2"/>
      <c r="S491" s="2" t="s">
        <v>1020</v>
      </c>
    </row>
    <row r="492" customFormat="false" ht="15" hidden="false" customHeight="false" outlineLevel="0" collapsed="false">
      <c r="A492" s="2" t="s">
        <v>1107</v>
      </c>
      <c r="B492" s="2" t="s">
        <v>1108</v>
      </c>
      <c r="C492" s="5" t="n">
        <v>46135</v>
      </c>
      <c r="D492" s="6" t="n">
        <f aca="false">YEAR(C492)</f>
        <v>2026</v>
      </c>
      <c r="E492" s="7" t="n">
        <v>454.9257</v>
      </c>
      <c r="F492" s="7" t="n">
        <v>4776.6463</v>
      </c>
      <c r="G492" s="3" t="n">
        <f aca="false">E492+F492</f>
        <v>5231.572</v>
      </c>
      <c r="H492" s="2" t="n">
        <v>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/>
      <c r="R492" s="2"/>
      <c r="S492" s="2" t="s">
        <v>1020</v>
      </c>
    </row>
    <row r="493" customFormat="false" ht="15" hidden="false" customHeight="false" outlineLevel="0" collapsed="false">
      <c r="A493" s="2" t="s">
        <v>1109</v>
      </c>
      <c r="B493" s="2" t="s">
        <v>1110</v>
      </c>
      <c r="C493" s="5" t="n">
        <v>46140</v>
      </c>
      <c r="D493" s="6" t="n">
        <f aca="false">YEAR(C493)</f>
        <v>2026</v>
      </c>
      <c r="E493" s="7" t="n">
        <v>505.4589</v>
      </c>
      <c r="F493" s="7" t="n">
        <v>2400.9166</v>
      </c>
      <c r="G493" s="3" t="n">
        <f aca="false">E493+F493</f>
        <v>2906.3755</v>
      </c>
      <c r="H493" s="2" t="n">
        <v>0</v>
      </c>
      <c r="I493" s="2" t="n">
        <v>1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/>
      <c r="R493" s="2"/>
      <c r="S493" s="2" t="s">
        <v>1020</v>
      </c>
    </row>
    <row r="494" customFormat="false" ht="15" hidden="false" customHeight="false" outlineLevel="0" collapsed="false">
      <c r="A494" s="2" t="s">
        <v>1111</v>
      </c>
      <c r="B494" s="2" t="s">
        <v>1112</v>
      </c>
      <c r="C494" s="5" t="n">
        <v>46140</v>
      </c>
      <c r="D494" s="6" t="n">
        <f aca="false">YEAR(C494)</f>
        <v>2026</v>
      </c>
      <c r="E494" s="7" t="n">
        <v>130.2728</v>
      </c>
      <c r="F494" s="7" t="n">
        <v>1172.4059</v>
      </c>
      <c r="G494" s="3" t="n">
        <f aca="false">E494+F494</f>
        <v>1302.6787</v>
      </c>
      <c r="H494" s="2" t="n">
        <v>1</v>
      </c>
      <c r="I494" s="2" t="n">
        <v>0</v>
      </c>
      <c r="J494" s="2" t="n">
        <v>1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/>
      <c r="R494" s="2"/>
      <c r="S494" s="2" t="s">
        <v>1020</v>
      </c>
    </row>
    <row r="495" customFormat="false" ht="15" hidden="false" customHeight="false" outlineLevel="0" collapsed="false">
      <c r="A495" s="2" t="s">
        <v>1113</v>
      </c>
      <c r="B495" s="2" t="s">
        <v>1114</v>
      </c>
      <c r="C495" s="5" t="n">
        <v>46141</v>
      </c>
      <c r="D495" s="6" t="n">
        <f aca="false">YEAR(C495)</f>
        <v>2026</v>
      </c>
      <c r="E495" s="7" t="n">
        <v>105.9707</v>
      </c>
      <c r="F495" s="7" t="n">
        <v>953.7315</v>
      </c>
      <c r="G495" s="3" t="n">
        <f aca="false">E495+F495</f>
        <v>1059.7022</v>
      </c>
      <c r="H495" s="2" t="n">
        <v>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/>
      <c r="R495" s="2"/>
      <c r="S495" s="2" t="s">
        <v>1020</v>
      </c>
    </row>
    <row r="496" customFormat="false" ht="15" hidden="false" customHeight="false" outlineLevel="0" collapsed="false">
      <c r="A496" s="2" t="s">
        <v>1115</v>
      </c>
      <c r="B496" s="2" t="s">
        <v>1116</v>
      </c>
      <c r="C496" s="5" t="n">
        <v>46147</v>
      </c>
      <c r="D496" s="6" t="n">
        <f aca="false">YEAR(C496)</f>
        <v>2026</v>
      </c>
      <c r="E496" s="7" t="n">
        <v>82.9567</v>
      </c>
      <c r="F496" s="7" t="n">
        <v>746.5955</v>
      </c>
      <c r="G496" s="3" t="n">
        <f aca="false">E496+F496</f>
        <v>829.5522</v>
      </c>
      <c r="H496" s="2" t="n">
        <v>0</v>
      </c>
      <c r="I496" s="2" t="n">
        <v>0</v>
      </c>
      <c r="J496" s="2" t="n">
        <v>1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/>
      <c r="R496" s="2"/>
      <c r="S496" s="2" t="s">
        <v>1020</v>
      </c>
    </row>
    <row r="497" customFormat="false" ht="15" hidden="false" customHeight="false" outlineLevel="0" collapsed="false">
      <c r="A497" s="2" t="s">
        <v>1117</v>
      </c>
      <c r="B497" s="2" t="s">
        <v>1118</v>
      </c>
      <c r="C497" s="5" t="n">
        <v>46148</v>
      </c>
      <c r="D497" s="6" t="n">
        <f aca="false">YEAR(C497)</f>
        <v>2026</v>
      </c>
      <c r="E497" s="7" t="n">
        <v>106.191</v>
      </c>
      <c r="F497" s="7" t="n">
        <v>955.719</v>
      </c>
      <c r="G497" s="3" t="n">
        <f aca="false">E497+F497</f>
        <v>1061.91</v>
      </c>
      <c r="H497" s="2" t="n">
        <v>0</v>
      </c>
      <c r="I497" s="2" t="n">
        <v>0</v>
      </c>
      <c r="J497" s="2" t="n">
        <v>1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/>
      <c r="R497" s="2"/>
      <c r="S497" s="2" t="s">
        <v>1020</v>
      </c>
    </row>
    <row r="498" customFormat="false" ht="15" hidden="false" customHeight="false" outlineLevel="0" collapsed="false">
      <c r="A498" s="2" t="s">
        <v>1119</v>
      </c>
      <c r="B498" s="2" t="s">
        <v>1120</v>
      </c>
      <c r="C498" s="5" t="n">
        <v>46153</v>
      </c>
      <c r="D498" s="6" t="n">
        <f aca="false">YEAR(C498)</f>
        <v>2026</v>
      </c>
      <c r="E498" s="7" t="n">
        <v>87.8684</v>
      </c>
      <c r="F498" s="7" t="n">
        <v>790.8</v>
      </c>
      <c r="G498" s="3" t="n">
        <f aca="false">E498+F498</f>
        <v>878.6684</v>
      </c>
      <c r="H498" s="2" t="n">
        <v>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/>
      <c r="R498" s="2"/>
      <c r="S498" s="2" t="s">
        <v>1020</v>
      </c>
    </row>
    <row r="499" customFormat="false" ht="15" hidden="false" customHeight="false" outlineLevel="0" collapsed="false">
      <c r="A499" s="2" t="s">
        <v>1121</v>
      </c>
      <c r="B499" s="2" t="s">
        <v>1122</v>
      </c>
      <c r="C499" s="5" t="n">
        <v>46155</v>
      </c>
      <c r="D499" s="6" t="n">
        <f aca="false">YEAR(C499)</f>
        <v>2026</v>
      </c>
      <c r="E499" s="7" t="n">
        <v>84.3758</v>
      </c>
      <c r="F499" s="7" t="n">
        <v>885.9196</v>
      </c>
      <c r="G499" s="3" t="n">
        <f aca="false">E499+F499</f>
        <v>970.2954</v>
      </c>
      <c r="H499" s="2" t="n">
        <v>1</v>
      </c>
      <c r="I499" s="2" t="n">
        <v>0</v>
      </c>
      <c r="J499" s="2" t="n">
        <v>1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/>
      <c r="R499" s="2"/>
      <c r="S499" s="2" t="s">
        <v>1020</v>
      </c>
    </row>
    <row r="500" customFormat="false" ht="15" hidden="false" customHeight="false" outlineLevel="0" collapsed="false">
      <c r="A500" s="2" t="s">
        <v>1123</v>
      </c>
      <c r="B500" s="2" t="s">
        <v>1124</v>
      </c>
      <c r="C500" s="5" t="n">
        <v>46155</v>
      </c>
      <c r="D500" s="6" t="n">
        <f aca="false">YEAR(C500)</f>
        <v>2026</v>
      </c>
      <c r="E500" s="7" t="n">
        <v>422.583</v>
      </c>
      <c r="F500" s="7" t="n">
        <v>2007.2535</v>
      </c>
      <c r="G500" s="3" t="n">
        <f aca="false">E500+F500</f>
        <v>2429.8365</v>
      </c>
      <c r="H500" s="2" t="n">
        <v>0</v>
      </c>
      <c r="I500" s="2" t="n">
        <v>1</v>
      </c>
      <c r="J500" s="2" t="n">
        <v>1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/>
      <c r="R500" s="2"/>
      <c r="S500" s="2" t="s">
        <v>1020</v>
      </c>
    </row>
    <row r="501" customFormat="false" ht="15" hidden="false" customHeight="false" outlineLevel="0" collapsed="false">
      <c r="A501" s="2" t="s">
        <v>1125</v>
      </c>
      <c r="B501" s="2" t="s">
        <v>1126</v>
      </c>
      <c r="C501" s="5" t="n">
        <v>46160</v>
      </c>
      <c r="D501" s="6" t="n">
        <f aca="false">YEAR(C501)</f>
        <v>2026</v>
      </c>
      <c r="E501" s="7" t="n">
        <v>150.06</v>
      </c>
      <c r="F501" s="7" t="n">
        <v>600.24</v>
      </c>
      <c r="G501" s="3" t="n">
        <f aca="false">E501+F501</f>
        <v>750.3</v>
      </c>
      <c r="H501" s="2" t="n">
        <v>0</v>
      </c>
      <c r="I501" s="2" t="n">
        <v>0</v>
      </c>
      <c r="J501" s="2" t="n">
        <v>0</v>
      </c>
      <c r="K501" s="2" t="n">
        <v>1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/>
      <c r="R501" s="2"/>
      <c r="S501" s="2" t="s">
        <v>1020</v>
      </c>
    </row>
    <row r="502" customFormat="false" ht="15" hidden="false" customHeight="false" outlineLevel="0" collapsed="false">
      <c r="A502" s="2" t="s">
        <v>1127</v>
      </c>
      <c r="B502" s="2" t="s">
        <v>1128</v>
      </c>
      <c r="C502" s="5" t="n">
        <v>46162</v>
      </c>
      <c r="D502" s="6" t="n">
        <f aca="false">YEAR(C502)</f>
        <v>2026</v>
      </c>
      <c r="E502" s="7" t="n">
        <v>174.4027</v>
      </c>
      <c r="F502" s="7" t="n">
        <v>697.6077</v>
      </c>
      <c r="G502" s="3" t="n">
        <f aca="false">E502+F502</f>
        <v>872.0104</v>
      </c>
      <c r="H502" s="2" t="n">
        <v>0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/>
      <c r="R502" s="2"/>
      <c r="S502" s="2" t="s">
        <v>1020</v>
      </c>
    </row>
    <row r="503" customFormat="false" ht="15" hidden="false" customHeight="false" outlineLevel="0" collapsed="false">
      <c r="A503" s="2" t="s">
        <v>1129</v>
      </c>
      <c r="B503" s="2" t="s">
        <v>1130</v>
      </c>
      <c r="C503" s="5" t="n">
        <v>46162</v>
      </c>
      <c r="D503" s="6" t="n">
        <f aca="false">YEAR(C503)</f>
        <v>2026</v>
      </c>
      <c r="E503" s="7" t="n">
        <v>172.4059</v>
      </c>
      <c r="F503" s="7" t="n">
        <v>1810.2616</v>
      </c>
      <c r="G503" s="3" t="n">
        <f aca="false">E503+F503</f>
        <v>1982.6675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/>
      <c r="R503" s="2"/>
      <c r="S503" s="2" t="s">
        <v>1020</v>
      </c>
    </row>
    <row r="504" customFormat="false" ht="15" hidden="false" customHeight="false" outlineLevel="0" collapsed="false">
      <c r="A504" s="2" t="s">
        <v>1131</v>
      </c>
      <c r="B504" s="2" t="s">
        <v>1132</v>
      </c>
      <c r="C504" s="5" t="n">
        <v>46164</v>
      </c>
      <c r="D504" s="6" t="n">
        <f aca="false">YEAR(C504)</f>
        <v>2026</v>
      </c>
      <c r="E504" s="7" t="n">
        <v>62.6872</v>
      </c>
      <c r="F504" s="7" t="n">
        <v>607.712</v>
      </c>
      <c r="G504" s="3" t="n">
        <f aca="false">E504+F504</f>
        <v>670.3992</v>
      </c>
      <c r="H504" s="2" t="n">
        <v>1</v>
      </c>
      <c r="I504" s="2" t="n">
        <v>0</v>
      </c>
      <c r="J504" s="2" t="n">
        <v>1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/>
      <c r="R504" s="2"/>
      <c r="S504" s="2" t="s">
        <v>1020</v>
      </c>
    </row>
    <row r="505" customFormat="false" ht="15" hidden="false" customHeight="false" outlineLevel="0" collapsed="false">
      <c r="A505" s="2" t="s">
        <v>1133</v>
      </c>
      <c r="B505" s="2" t="s">
        <v>1134</v>
      </c>
      <c r="C505" s="5" t="n">
        <v>46169</v>
      </c>
      <c r="D505" s="6" t="n">
        <f aca="false">YEAR(C505)</f>
        <v>2026</v>
      </c>
      <c r="E505" s="7" t="n">
        <v>63.0022</v>
      </c>
      <c r="F505" s="7" t="n">
        <v>566.9972</v>
      </c>
      <c r="G505" s="3" t="n">
        <f aca="false">E505+F505</f>
        <v>629.9994</v>
      </c>
      <c r="H505" s="2" t="n">
        <v>0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/>
      <c r="R505" s="2"/>
      <c r="S505" s="2" t="s">
        <v>1020</v>
      </c>
    </row>
    <row r="506" customFormat="false" ht="15" hidden="false" customHeight="false" outlineLevel="0" collapsed="false">
      <c r="A506" s="2" t="s">
        <v>1135</v>
      </c>
      <c r="B506" s="2" t="s">
        <v>1136</v>
      </c>
      <c r="C506" s="5" t="n">
        <v>46169</v>
      </c>
      <c r="D506" s="6" t="n">
        <f aca="false">YEAR(C506)</f>
        <v>2026</v>
      </c>
      <c r="E506" s="7" t="n">
        <v>50.3274</v>
      </c>
      <c r="F506" s="7" t="n">
        <v>452.9466</v>
      </c>
      <c r="G506" s="3" t="n">
        <f aca="false">E506+F506</f>
        <v>503.274</v>
      </c>
      <c r="H506" s="2" t="n">
        <v>0</v>
      </c>
      <c r="I506" s="2" t="n">
        <v>0</v>
      </c>
      <c r="J506" s="2" t="n">
        <v>0</v>
      </c>
      <c r="K506" s="2" t="n">
        <v>1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/>
      <c r="R506" s="2"/>
      <c r="S506" s="2" t="s">
        <v>1020</v>
      </c>
    </row>
    <row r="507" customFormat="false" ht="15" hidden="false" customHeight="false" outlineLevel="0" collapsed="false">
      <c r="A507" s="2" t="s">
        <v>1137</v>
      </c>
      <c r="B507" s="2" t="s">
        <v>1138</v>
      </c>
      <c r="C507" s="5" t="n">
        <v>46169</v>
      </c>
      <c r="D507" s="6" t="n">
        <f aca="false">YEAR(C507)</f>
        <v>2026</v>
      </c>
      <c r="E507" s="7" t="n">
        <v>110.0017</v>
      </c>
      <c r="F507" s="7" t="n">
        <v>1154.9966</v>
      </c>
      <c r="G507" s="3" t="n">
        <f aca="false">E507+F507</f>
        <v>1264.9983</v>
      </c>
      <c r="H507" s="2" t="n">
        <v>0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/>
      <c r="R507" s="2"/>
      <c r="S507" s="2" t="s">
        <v>1020</v>
      </c>
    </row>
    <row r="508" customFormat="false" ht="15" hidden="false" customHeight="false" outlineLevel="0" collapsed="false">
      <c r="A508" s="2" t="s">
        <v>1139</v>
      </c>
      <c r="B508" s="2" t="s">
        <v>1140</v>
      </c>
      <c r="C508" s="5" t="n">
        <v>46171</v>
      </c>
      <c r="D508" s="6" t="n">
        <f aca="false">YEAR(C508)</f>
        <v>2026</v>
      </c>
      <c r="E508" s="7" t="n">
        <v>138.0446</v>
      </c>
      <c r="F508" s="7" t="n">
        <v>1449.4574</v>
      </c>
      <c r="G508" s="3" t="n">
        <f aca="false">E508+F508</f>
        <v>1587.502</v>
      </c>
      <c r="H508" s="2" t="n">
        <v>0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/>
      <c r="R508" s="2"/>
      <c r="S508" s="2" t="s">
        <v>1020</v>
      </c>
    </row>
    <row r="509" customFormat="false" ht="15" hidden="false" customHeight="false" outlineLevel="0" collapsed="false">
      <c r="A509" s="2" t="s">
        <v>1141</v>
      </c>
      <c r="B509" s="2" t="s">
        <v>1142</v>
      </c>
      <c r="C509" s="5" t="n">
        <v>46176</v>
      </c>
      <c r="D509" s="6" t="n">
        <f aca="false">YEAR(C509)</f>
        <v>2026</v>
      </c>
      <c r="E509" s="7" t="n">
        <v>87.6</v>
      </c>
      <c r="F509" s="7" t="n">
        <v>496.4</v>
      </c>
      <c r="G509" s="3" t="n">
        <f aca="false">E509+F509</f>
        <v>584</v>
      </c>
      <c r="H509" s="2" t="n">
        <v>0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/>
      <c r="R509" s="2"/>
      <c r="S509" s="2" t="s">
        <v>1020</v>
      </c>
    </row>
    <row r="510" customFormat="false" ht="15" hidden="false" customHeight="false" outlineLevel="0" collapsed="false">
      <c r="A510" s="2" t="s">
        <v>1143</v>
      </c>
      <c r="B510" s="2" t="s">
        <v>1144</v>
      </c>
      <c r="C510" s="5" t="n">
        <v>46178</v>
      </c>
      <c r="D510" s="6" t="n">
        <f aca="false">YEAR(C510)</f>
        <v>2026</v>
      </c>
      <c r="E510" s="7" t="n">
        <v>577.4542</v>
      </c>
      <c r="F510" s="7" t="n">
        <v>6217.6894</v>
      </c>
      <c r="G510" s="3" t="n">
        <f aca="false">E510+F510</f>
        <v>6795.1436</v>
      </c>
      <c r="H510" s="2" t="n">
        <v>0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/>
      <c r="R510" s="2"/>
      <c r="S510" s="2" t="s">
        <v>1020</v>
      </c>
    </row>
    <row r="511" customFormat="false" ht="15" hidden="false" customHeight="false" outlineLevel="0" collapsed="false">
      <c r="A511" s="2" t="s">
        <v>1145</v>
      </c>
      <c r="B511" s="2" t="s">
        <v>1146</v>
      </c>
      <c r="C511" s="5" t="n">
        <v>46178</v>
      </c>
      <c r="D511" s="6" t="n">
        <f aca="false">YEAR(C511)</f>
        <v>2026</v>
      </c>
      <c r="E511" s="7" t="n">
        <v>136.3428</v>
      </c>
      <c r="F511" s="7" t="n">
        <v>1431.5582</v>
      </c>
      <c r="G511" s="3" t="n">
        <f aca="false">E511+F511</f>
        <v>1567.901</v>
      </c>
      <c r="H511" s="2" t="n">
        <v>1</v>
      </c>
      <c r="I511" s="2" t="n">
        <v>0</v>
      </c>
      <c r="J511" s="2" t="n">
        <v>1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/>
      <c r="R511" s="2"/>
      <c r="S511" s="2" t="s">
        <v>1020</v>
      </c>
    </row>
    <row r="512" customFormat="false" ht="15" hidden="false" customHeight="false" outlineLevel="0" collapsed="false">
      <c r="A512" s="2" t="s">
        <v>1147</v>
      </c>
      <c r="B512" s="2" t="s">
        <v>1148</v>
      </c>
      <c r="C512" s="5" t="n">
        <v>46178</v>
      </c>
      <c r="D512" s="6" t="n">
        <f aca="false">YEAR(C512)</f>
        <v>2026</v>
      </c>
      <c r="E512" s="7" t="n">
        <v>64.75</v>
      </c>
      <c r="F512" s="7" t="n">
        <v>582.75</v>
      </c>
      <c r="G512" s="3" t="n">
        <f aca="false">E512+F512</f>
        <v>647.5</v>
      </c>
      <c r="H512" s="2" t="n">
        <v>0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/>
      <c r="R512" s="2"/>
      <c r="S512" s="2" t="s">
        <v>1020</v>
      </c>
    </row>
    <row r="513" customFormat="false" ht="15" hidden="false" customHeight="false" outlineLevel="0" collapsed="false">
      <c r="A513" s="2" t="s">
        <v>1149</v>
      </c>
      <c r="B513" s="2" t="s">
        <v>1150</v>
      </c>
      <c r="C513" s="5" t="n">
        <v>46188</v>
      </c>
      <c r="D513" s="6" t="n">
        <f aca="false">YEAR(C513)</f>
        <v>2026</v>
      </c>
      <c r="E513" s="7" t="n">
        <v>49.9645</v>
      </c>
      <c r="F513" s="7" t="n">
        <v>449.641</v>
      </c>
      <c r="G513" s="3" t="n">
        <f aca="false">E513+F513</f>
        <v>499.6055</v>
      </c>
      <c r="H513" s="2" t="n">
        <v>0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/>
      <c r="R513" s="2"/>
      <c r="S513" s="2" t="s">
        <v>1020</v>
      </c>
    </row>
    <row r="514" customFormat="false" ht="15" hidden="false" customHeight="false" outlineLevel="0" collapsed="false">
      <c r="A514" s="2" t="s">
        <v>1151</v>
      </c>
      <c r="B514" s="2" t="s">
        <v>1152</v>
      </c>
      <c r="C514" s="5" t="n">
        <v>46190</v>
      </c>
      <c r="D514" s="6" t="n">
        <f aca="false">YEAR(C514)</f>
        <v>2026</v>
      </c>
      <c r="E514" s="7" t="n">
        <v>98.0571</v>
      </c>
      <c r="F514" s="7" t="n">
        <v>934.9279</v>
      </c>
      <c r="G514" s="3" t="n">
        <f aca="false">E514+F514</f>
        <v>1032.985</v>
      </c>
      <c r="H514" s="2" t="n">
        <v>0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/>
      <c r="R514" s="2"/>
      <c r="S514" s="2" t="s">
        <v>1020</v>
      </c>
    </row>
    <row r="515" customFormat="false" ht="15" hidden="false" customHeight="false" outlineLevel="0" collapsed="false">
      <c r="A515" s="2" t="s">
        <v>1153</v>
      </c>
      <c r="B515" s="2" t="s">
        <v>1154</v>
      </c>
      <c r="C515" s="5" t="n">
        <v>46195</v>
      </c>
      <c r="D515" s="6" t="n">
        <f aca="false">YEAR(C515)</f>
        <v>2026</v>
      </c>
      <c r="E515" s="7" t="n">
        <v>61.3188</v>
      </c>
      <c r="F515" s="7" t="n">
        <v>551.8512</v>
      </c>
      <c r="G515" s="3" t="n">
        <f aca="false">E515+F515</f>
        <v>613.17</v>
      </c>
      <c r="H515" s="2" t="n">
        <v>0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/>
      <c r="R515" s="2"/>
      <c r="S515" s="2" t="s">
        <v>1020</v>
      </c>
    </row>
    <row r="516" customFormat="false" ht="15" hidden="false" customHeight="false" outlineLevel="0" collapsed="false">
      <c r="A516" s="2" t="s">
        <v>1155</v>
      </c>
      <c r="B516" s="2" t="s">
        <v>1156</v>
      </c>
      <c r="C516" s="5" t="n">
        <v>46196</v>
      </c>
      <c r="D516" s="6" t="n">
        <f aca="false">YEAR(C516)</f>
        <v>2026</v>
      </c>
      <c r="E516" s="7" t="n">
        <v>134.2734</v>
      </c>
      <c r="F516" s="7" t="n">
        <v>1208.4476</v>
      </c>
      <c r="G516" s="3" t="n">
        <f aca="false">E516+F516</f>
        <v>1342.721</v>
      </c>
      <c r="H516" s="2" t="n">
        <v>0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/>
      <c r="R516" s="2"/>
      <c r="S516" s="2" t="s">
        <v>1020</v>
      </c>
    </row>
    <row r="517" customFormat="false" ht="15" hidden="false" customHeight="false" outlineLevel="0" collapsed="false">
      <c r="A517" s="2" t="s">
        <v>1157</v>
      </c>
      <c r="B517" s="2" t="s">
        <v>1158</v>
      </c>
      <c r="C517" s="5" t="n">
        <v>46196</v>
      </c>
      <c r="D517" s="6" t="n">
        <f aca="false">YEAR(C517)</f>
        <v>2026</v>
      </c>
      <c r="E517" s="7" t="n">
        <v>111.248</v>
      </c>
      <c r="F517" s="7" t="n">
        <v>1001.232</v>
      </c>
      <c r="G517" s="3" t="n">
        <f aca="false">E517+F517</f>
        <v>1112.48</v>
      </c>
      <c r="H517" s="2" t="n">
        <v>1</v>
      </c>
      <c r="I517" s="2" t="n">
        <v>0</v>
      </c>
      <c r="J517" s="2" t="n">
        <v>1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/>
      <c r="R517" s="2"/>
      <c r="S517" s="2" t="s">
        <v>1020</v>
      </c>
    </row>
    <row r="518" customFormat="false" ht="15" hidden="false" customHeight="false" outlineLevel="0" collapsed="false">
      <c r="A518" s="2" t="s">
        <v>1159</v>
      </c>
      <c r="B518" s="2" t="s">
        <v>1160</v>
      </c>
      <c r="C518" s="5" t="n">
        <v>46197</v>
      </c>
      <c r="D518" s="6" t="n">
        <f aca="false">YEAR(C518)</f>
        <v>2026</v>
      </c>
      <c r="E518" s="7" t="n">
        <v>105.6619</v>
      </c>
      <c r="F518" s="7" t="n">
        <v>950.9282</v>
      </c>
      <c r="G518" s="3" t="n">
        <f aca="false">E518+F518</f>
        <v>1056.5901</v>
      </c>
      <c r="H518" s="2" t="n">
        <v>1</v>
      </c>
      <c r="I518" s="2" t="n">
        <v>0</v>
      </c>
      <c r="J518" s="2" t="n">
        <v>1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/>
      <c r="R518" s="2"/>
      <c r="S518" s="2" t="s">
        <v>1020</v>
      </c>
    </row>
    <row r="519" customFormat="false" ht="15" hidden="false" customHeight="false" outlineLevel="0" collapsed="false">
      <c r="A519" s="2" t="s">
        <v>1161</v>
      </c>
      <c r="B519" s="2" t="s">
        <v>1162</v>
      </c>
      <c r="C519" s="5" t="n">
        <v>46197</v>
      </c>
      <c r="D519" s="6" t="n">
        <f aca="false">YEAR(C519)</f>
        <v>2026</v>
      </c>
      <c r="E519" s="7" t="n">
        <v>213.3092</v>
      </c>
      <c r="F519" s="7" t="n">
        <v>853.2165</v>
      </c>
      <c r="G519" s="3" t="n">
        <f aca="false">E519+F519</f>
        <v>1066.5257</v>
      </c>
      <c r="H519" s="2" t="n">
        <v>0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/>
      <c r="R519" s="2"/>
      <c r="S519" s="2" t="s">
        <v>1020</v>
      </c>
    </row>
    <row r="520" customFormat="false" ht="15" hidden="false" customHeight="false" outlineLevel="0" collapsed="false">
      <c r="A520" s="2" t="s">
        <v>1163</v>
      </c>
      <c r="B520" s="2" t="s">
        <v>1164</v>
      </c>
      <c r="C520" s="5" t="n">
        <v>46199</v>
      </c>
      <c r="D520" s="6" t="n">
        <f aca="false">YEAR(C520)</f>
        <v>2026</v>
      </c>
      <c r="E520" s="7" t="n">
        <v>826.4258</v>
      </c>
      <c r="F520" s="7" t="n">
        <v>7437.8191</v>
      </c>
      <c r="G520" s="3" t="n">
        <f aca="false">E520+F520</f>
        <v>8264.2449</v>
      </c>
      <c r="H520" s="2" t="n">
        <v>0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/>
      <c r="R520" s="2"/>
      <c r="S520" s="2" t="s">
        <v>1020</v>
      </c>
    </row>
    <row r="521" customFormat="false" ht="15" hidden="false" customHeight="false" outlineLevel="0" collapsed="false">
      <c r="A521" s="2" t="s">
        <v>1165</v>
      </c>
      <c r="B521" s="2" t="s">
        <v>1166</v>
      </c>
      <c r="C521" s="5" t="n">
        <v>46199</v>
      </c>
      <c r="D521" s="6" t="n">
        <f aca="false">YEAR(C521)</f>
        <v>2026</v>
      </c>
      <c r="E521" s="7" t="n">
        <v>180.0969</v>
      </c>
      <c r="F521" s="7" t="n">
        <v>801.3978</v>
      </c>
      <c r="G521" s="3" t="n">
        <f aca="false">E521+F521</f>
        <v>981.4947</v>
      </c>
      <c r="H521" s="2" t="n">
        <v>0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/>
      <c r="R521" s="2"/>
      <c r="S521" s="2" t="s">
        <v>1020</v>
      </c>
    </row>
    <row r="522" customFormat="false" ht="15" hidden="false" customHeight="false" outlineLevel="0" collapsed="false">
      <c r="A522" s="2" t="s">
        <v>1167</v>
      </c>
      <c r="B522" s="2" t="s">
        <v>1168</v>
      </c>
      <c r="C522" s="5" t="n">
        <v>46199</v>
      </c>
      <c r="D522" s="6" t="n">
        <f aca="false">YEAR(C522)</f>
        <v>2026</v>
      </c>
      <c r="E522" s="7" t="n">
        <v>39.9945</v>
      </c>
      <c r="F522" s="7" t="n">
        <v>359.9461</v>
      </c>
      <c r="G522" s="3" t="n">
        <f aca="false">E522+F522</f>
        <v>399.9406</v>
      </c>
      <c r="H522" s="2" t="n">
        <v>0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/>
      <c r="R522" s="2"/>
      <c r="S522" s="2" t="s">
        <v>1020</v>
      </c>
    </row>
    <row r="523" customFormat="false" ht="15" hidden="false" customHeight="false" outlineLevel="0" collapsed="false">
      <c r="A523" s="2" t="s">
        <v>1169</v>
      </c>
      <c r="B523" s="2" t="s">
        <v>1170</v>
      </c>
      <c r="C523" s="5" t="n">
        <v>46199</v>
      </c>
      <c r="D523" s="6" t="n">
        <f aca="false">YEAR(C523)</f>
        <v>2026</v>
      </c>
      <c r="E523" s="7" t="n">
        <v>324.48</v>
      </c>
      <c r="F523" s="7" t="n">
        <v>3406.9268</v>
      </c>
      <c r="G523" s="3" t="n">
        <f aca="false">E523+F523</f>
        <v>3731.4068</v>
      </c>
      <c r="H523" s="2" t="n">
        <v>0</v>
      </c>
      <c r="I523" s="2" t="n">
        <v>0</v>
      </c>
      <c r="J523" s="2" t="n">
        <v>0</v>
      </c>
      <c r="K523" s="2" t="n">
        <v>0</v>
      </c>
      <c r="L523" s="2" t="n">
        <v>1</v>
      </c>
      <c r="M523" s="2" t="n">
        <v>0</v>
      </c>
      <c r="N523" s="2" t="n">
        <v>0</v>
      </c>
      <c r="O523" s="2" t="n">
        <v>0</v>
      </c>
      <c r="P523" s="2" t="n">
        <v>0</v>
      </c>
      <c r="Q523" s="2"/>
      <c r="R523" s="2"/>
      <c r="S523" s="2" t="s">
        <v>1020</v>
      </c>
    </row>
    <row r="524" customFormat="false" ht="15" hidden="false" customHeight="false" outlineLevel="0" collapsed="false">
      <c r="A524" s="2" t="s">
        <v>1171</v>
      </c>
      <c r="B524" s="2" t="s">
        <v>1172</v>
      </c>
      <c r="C524" s="5" t="n">
        <v>46199</v>
      </c>
      <c r="D524" s="6" t="n">
        <f aca="false">YEAR(C524)</f>
        <v>2026</v>
      </c>
      <c r="E524" s="7" t="n">
        <v>460.097</v>
      </c>
      <c r="F524" s="7" t="n">
        <v>4830.9337</v>
      </c>
      <c r="G524" s="3" t="n">
        <f aca="false">E524+F524</f>
        <v>5291.0307</v>
      </c>
      <c r="H524" s="2" t="n">
        <v>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/>
      <c r="R524" s="2"/>
      <c r="S524" s="2" t="s">
        <v>1020</v>
      </c>
    </row>
    <row r="525" customFormat="false" ht="15" hidden="false" customHeight="false" outlineLevel="0" collapsed="false">
      <c r="A525" s="2" t="s">
        <v>1173</v>
      </c>
      <c r="B525" s="2" t="s">
        <v>1174</v>
      </c>
      <c r="C525" s="5" t="n">
        <v>46199</v>
      </c>
      <c r="D525" s="6" t="n">
        <f aca="false">YEAR(C525)</f>
        <v>2026</v>
      </c>
      <c r="E525" s="7" t="n">
        <v>238.5195</v>
      </c>
      <c r="F525" s="7" t="n">
        <v>2227.5026</v>
      </c>
      <c r="G525" s="3" t="n">
        <f aca="false">E525+F525</f>
        <v>2466.0221</v>
      </c>
      <c r="H525" s="2" t="n">
        <v>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/>
      <c r="R525" s="2"/>
      <c r="S525" s="2" t="s">
        <v>1020</v>
      </c>
    </row>
    <row r="526" customFormat="false" ht="15" hidden="false" customHeight="false" outlineLevel="0" collapsed="false">
      <c r="A526" s="2" t="s">
        <v>1175</v>
      </c>
      <c r="B526" s="2" t="s">
        <v>1176</v>
      </c>
      <c r="C526" s="5" t="n">
        <v>46202</v>
      </c>
      <c r="D526" s="6" t="n">
        <f aca="false">YEAR(C526)</f>
        <v>2026</v>
      </c>
      <c r="E526" s="7" t="n">
        <v>153.1191</v>
      </c>
      <c r="F526" s="7" t="n">
        <v>1607.7477</v>
      </c>
      <c r="G526" s="3" t="n">
        <f aca="false">E526+F526</f>
        <v>1760.8668</v>
      </c>
      <c r="H526" s="2" t="n">
        <v>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/>
      <c r="R526" s="2"/>
      <c r="S526" s="2" t="s">
        <v>1020</v>
      </c>
    </row>
    <row r="527" customFormat="false" ht="15" hidden="false" customHeight="false" outlineLevel="0" collapsed="false">
      <c r="A527" s="2" t="s">
        <v>1177</v>
      </c>
      <c r="B527" s="2" t="s">
        <v>1178</v>
      </c>
      <c r="C527" s="5" t="n">
        <v>46202</v>
      </c>
      <c r="D527" s="6" t="n">
        <f aca="false">YEAR(C527)</f>
        <v>2026</v>
      </c>
      <c r="E527" s="7" t="n">
        <v>52.0198</v>
      </c>
      <c r="F527" s="7" t="n">
        <v>468.1529</v>
      </c>
      <c r="G527" s="3" t="n">
        <f aca="false">E527+F527</f>
        <v>520.1727</v>
      </c>
      <c r="H527" s="2" t="n">
        <v>0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/>
      <c r="R527" s="2"/>
      <c r="S527" s="2" t="s">
        <v>1020</v>
      </c>
    </row>
    <row r="528" customFormat="false" ht="15" hidden="false" customHeight="false" outlineLevel="0" collapsed="false">
      <c r="A528" s="2" t="s">
        <v>1179</v>
      </c>
      <c r="B528" s="2" t="s">
        <v>1180</v>
      </c>
      <c r="C528" s="5" t="n">
        <v>46202</v>
      </c>
      <c r="D528" s="6" t="n">
        <f aca="false">YEAR(C528)</f>
        <v>2026</v>
      </c>
      <c r="E528" s="7" t="n">
        <v>128.2686</v>
      </c>
      <c r="F528" s="7" t="n">
        <v>1346.8041</v>
      </c>
      <c r="G528" s="3" t="n">
        <f aca="false">E528+F528</f>
        <v>1475.0727</v>
      </c>
      <c r="H528" s="2" t="n">
        <v>1</v>
      </c>
      <c r="I528" s="2" t="n">
        <v>0</v>
      </c>
      <c r="J528" s="2" t="n">
        <v>1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/>
      <c r="R528" s="2"/>
      <c r="S528" s="2" t="s">
        <v>1020</v>
      </c>
    </row>
    <row r="529" customFormat="false" ht="15" hidden="false" customHeight="false" outlineLevel="0" collapsed="false">
      <c r="A529" s="2" t="s">
        <v>1181</v>
      </c>
      <c r="B529" s="2" t="s">
        <v>1182</v>
      </c>
      <c r="C529" s="5" t="n">
        <v>46203</v>
      </c>
      <c r="D529" s="6" t="n">
        <f aca="false">YEAR(C529)</f>
        <v>2026</v>
      </c>
      <c r="E529" s="7" t="n">
        <v>44.9878</v>
      </c>
      <c r="F529" s="7" t="n">
        <v>404.8774</v>
      </c>
      <c r="G529" s="3" t="n">
        <f aca="false">E529+F529</f>
        <v>449.8652</v>
      </c>
      <c r="H529" s="2" t="n">
        <v>1</v>
      </c>
      <c r="I529" s="2" t="n">
        <v>0</v>
      </c>
      <c r="J529" s="2" t="n">
        <v>1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/>
      <c r="R529" s="2"/>
      <c r="S529" s="2" t="s">
        <v>1020</v>
      </c>
    </row>
    <row r="530" customFormat="false" ht="15" hidden="false" customHeight="false" outlineLevel="0" collapsed="false">
      <c r="A530" s="2" t="s">
        <v>1183</v>
      </c>
      <c r="B530" s="2" t="s">
        <v>1184</v>
      </c>
      <c r="C530" s="5" t="n">
        <v>46203</v>
      </c>
      <c r="D530" s="6" t="n">
        <f aca="false">YEAR(C530)</f>
        <v>2026</v>
      </c>
      <c r="E530" s="7" t="n">
        <v>40.5832</v>
      </c>
      <c r="F530" s="7" t="n">
        <v>365.2432</v>
      </c>
      <c r="G530" s="3" t="n">
        <f aca="false">E530+F530</f>
        <v>405.8264</v>
      </c>
      <c r="H530" s="2" t="n">
        <v>0</v>
      </c>
      <c r="I530" s="2" t="n">
        <v>0</v>
      </c>
      <c r="J530" s="2" t="n">
        <v>1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/>
      <c r="R530" s="2"/>
      <c r="S530" s="2" t="s">
        <v>1020</v>
      </c>
    </row>
    <row r="531" customFormat="false" ht="15" hidden="false" customHeight="false" outlineLevel="0" collapsed="false">
      <c r="A531" s="2" t="s">
        <v>1185</v>
      </c>
      <c r="B531" s="2" t="s">
        <v>1186</v>
      </c>
      <c r="C531" s="5" t="n">
        <v>46203</v>
      </c>
      <c r="D531" s="6" t="n">
        <f aca="false">YEAR(C531)</f>
        <v>2026</v>
      </c>
      <c r="E531" s="7" t="n">
        <v>229.8582</v>
      </c>
      <c r="F531" s="7" t="n">
        <v>982.3864</v>
      </c>
      <c r="G531" s="3" t="n">
        <f aca="false">E531+F531</f>
        <v>1212.2446</v>
      </c>
      <c r="H531" s="2" t="n">
        <v>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/>
      <c r="R531" s="2"/>
      <c r="S531" s="2" t="s">
        <v>1020</v>
      </c>
    </row>
    <row r="532" customFormat="false" ht="15" hidden="false" customHeight="false" outlineLevel="0" collapsed="false">
      <c r="A532" s="2" t="s">
        <v>1187</v>
      </c>
      <c r="B532" s="2" t="s">
        <v>1188</v>
      </c>
      <c r="C532" s="5" t="n">
        <v>46203</v>
      </c>
      <c r="D532" s="6" t="n">
        <f aca="false">YEAR(C532)</f>
        <v>2026</v>
      </c>
      <c r="E532" s="7" t="n">
        <v>123.3141</v>
      </c>
      <c r="F532" s="7" t="n">
        <v>1109.8198</v>
      </c>
      <c r="G532" s="3" t="n">
        <f aca="false">E532+F532</f>
        <v>1233.1339</v>
      </c>
      <c r="H532" s="2" t="n">
        <v>0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/>
      <c r="R532" s="2"/>
      <c r="S532" s="2" t="s">
        <v>1020</v>
      </c>
    </row>
    <row r="533" customFormat="false" ht="15" hidden="false" customHeight="false" outlineLevel="0" collapsed="false">
      <c r="A533" s="2" t="s">
        <v>1189</v>
      </c>
      <c r="B533" s="2" t="s">
        <v>1190</v>
      </c>
      <c r="C533" s="5" t="n">
        <v>46203</v>
      </c>
      <c r="D533" s="6" t="n">
        <f aca="false">YEAR(C533)</f>
        <v>2026</v>
      </c>
      <c r="E533" s="7" t="n">
        <v>0</v>
      </c>
      <c r="F533" s="7" t="n">
        <v>0</v>
      </c>
      <c r="G533" s="3" t="n">
        <f aca="false">E533+F533</f>
        <v>0</v>
      </c>
      <c r="H533" s="2" t="n">
        <v>0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/>
      <c r="R533" s="2"/>
      <c r="S533" s="2" t="s">
        <v>1020</v>
      </c>
    </row>
    <row r="534" customFormat="false" ht="15" hidden="false" customHeight="false" outlineLevel="0" collapsed="false">
      <c r="A534" s="2" t="s">
        <v>1191</v>
      </c>
      <c r="B534" s="2" t="s">
        <v>1192</v>
      </c>
      <c r="C534" s="5" t="n">
        <v>46205</v>
      </c>
      <c r="D534" s="6" t="n">
        <f aca="false">YEAR(C534)</f>
        <v>2026</v>
      </c>
      <c r="E534" s="7" t="n">
        <v>463.159</v>
      </c>
      <c r="F534" s="7" t="n">
        <v>4510.3993</v>
      </c>
      <c r="G534" s="3" t="n">
        <f aca="false">E534+F534</f>
        <v>4973.5583</v>
      </c>
      <c r="H534" s="2" t="n">
        <v>0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/>
      <c r="R534" s="2"/>
      <c r="S534" s="2" t="s">
        <v>1020</v>
      </c>
    </row>
    <row r="535" customFormat="false" ht="15" hidden="false" customHeight="false" outlineLevel="0" collapsed="false">
      <c r="A535" s="2" t="s">
        <v>1193</v>
      </c>
      <c r="B535" s="2" t="s">
        <v>1194</v>
      </c>
      <c r="C535" s="5" t="n">
        <v>46210</v>
      </c>
      <c r="D535" s="6" t="n">
        <f aca="false">YEAR(C535)</f>
        <v>2026</v>
      </c>
      <c r="E535" s="7" t="n">
        <v>59.4853</v>
      </c>
      <c r="F535" s="7" t="n">
        <v>535.359</v>
      </c>
      <c r="G535" s="3" t="n">
        <f aca="false">E535+F535</f>
        <v>594.8443</v>
      </c>
      <c r="H535" s="2" t="n">
        <v>0</v>
      </c>
      <c r="I535" s="2" t="n">
        <v>0</v>
      </c>
      <c r="J535" s="2" t="n">
        <v>1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/>
      <c r="R535" s="2"/>
      <c r="S535" s="2" t="s">
        <v>1020</v>
      </c>
    </row>
    <row r="536" customFormat="false" ht="15" hidden="false" customHeight="false" outlineLevel="0" collapsed="false">
      <c r="A536" s="2" t="s">
        <v>1195</v>
      </c>
      <c r="B536" s="2" t="s">
        <v>1196</v>
      </c>
      <c r="C536" s="5" t="n">
        <v>46211</v>
      </c>
      <c r="D536" s="6" t="n">
        <f aca="false">YEAR(C536)</f>
        <v>2026</v>
      </c>
      <c r="E536" s="7" t="n">
        <v>121.6729</v>
      </c>
      <c r="F536" s="7" t="n">
        <v>486.6915</v>
      </c>
      <c r="G536" s="3" t="n">
        <f aca="false">E536+F536</f>
        <v>608.3644</v>
      </c>
      <c r="H536" s="2" t="n">
        <v>0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/>
      <c r="R536" s="2"/>
      <c r="S536" s="2" t="s">
        <v>1020</v>
      </c>
    </row>
    <row r="537" customFormat="false" ht="15" hidden="false" customHeight="false" outlineLevel="0" collapsed="false">
      <c r="A537" s="2" t="s">
        <v>1197</v>
      </c>
      <c r="B537" s="2" t="s">
        <v>1198</v>
      </c>
      <c r="C537" s="5" t="n">
        <v>46211</v>
      </c>
      <c r="D537" s="6" t="n">
        <f aca="false">YEAR(C537)</f>
        <v>2026</v>
      </c>
      <c r="E537" s="7" t="n">
        <v>173.1954</v>
      </c>
      <c r="F537" s="7" t="n">
        <v>692.7563</v>
      </c>
      <c r="G537" s="3" t="n">
        <f aca="false">E537+F537</f>
        <v>865.9517</v>
      </c>
      <c r="H537" s="2" t="n">
        <v>0</v>
      </c>
      <c r="I537" s="2" t="n">
        <v>0</v>
      </c>
      <c r="J537" s="2" t="n">
        <v>0</v>
      </c>
      <c r="K537" s="2" t="n">
        <v>0</v>
      </c>
      <c r="L537" s="2" t="n">
        <v>1</v>
      </c>
      <c r="M537" s="2" t="n">
        <v>0</v>
      </c>
      <c r="N537" s="2" t="n">
        <v>0</v>
      </c>
      <c r="O537" s="2" t="n">
        <v>0</v>
      </c>
      <c r="P537" s="2" t="n">
        <v>0</v>
      </c>
      <c r="Q537" s="2"/>
      <c r="R537" s="2"/>
      <c r="S537" s="2" t="s">
        <v>1020</v>
      </c>
    </row>
    <row r="538" customFormat="false" ht="15" hidden="false" customHeight="false" outlineLevel="0" collapsed="false">
      <c r="A538" s="2" t="s">
        <v>1199</v>
      </c>
      <c r="B538" s="2" t="s">
        <v>1200</v>
      </c>
      <c r="C538" s="5" t="n">
        <v>46211</v>
      </c>
      <c r="D538" s="6" t="n">
        <f aca="false">YEAR(C538)</f>
        <v>2026</v>
      </c>
      <c r="E538" s="7" t="n">
        <v>589.3791</v>
      </c>
      <c r="F538" s="7" t="n">
        <v>5304.3824</v>
      </c>
      <c r="G538" s="3" t="n">
        <f aca="false">E538+F538</f>
        <v>5893.7615</v>
      </c>
      <c r="H538" s="2" t="n">
        <v>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/>
      <c r="R538" s="2"/>
      <c r="S538" s="2" t="s">
        <v>1020</v>
      </c>
    </row>
    <row r="539" customFormat="false" ht="15" hidden="false" customHeight="false" outlineLevel="0" collapsed="false">
      <c r="A539" s="2" t="s">
        <v>1201</v>
      </c>
      <c r="B539" s="2" t="s">
        <v>1202</v>
      </c>
      <c r="C539" s="5" t="n">
        <v>46211</v>
      </c>
      <c r="D539" s="6" t="n">
        <f aca="false">YEAR(C539)</f>
        <v>2026</v>
      </c>
      <c r="E539" s="7" t="n">
        <v>229.7525</v>
      </c>
      <c r="F539" s="7" t="n">
        <v>2311.4036</v>
      </c>
      <c r="G539" s="3" t="n">
        <f aca="false">E539+F539</f>
        <v>2541.1561</v>
      </c>
      <c r="H539" s="2" t="n">
        <v>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/>
      <c r="R539" s="2"/>
      <c r="S539" s="2" t="s">
        <v>1020</v>
      </c>
    </row>
    <row r="540" customFormat="false" ht="15" hidden="false" customHeight="false" outlineLevel="0" collapsed="false">
      <c r="A540" s="2" t="s">
        <v>1203</v>
      </c>
      <c r="B540" s="2" t="s">
        <v>1204</v>
      </c>
      <c r="C540" s="5" t="n">
        <v>46212</v>
      </c>
      <c r="D540" s="6" t="n">
        <f aca="false">YEAR(C540)</f>
        <v>2026</v>
      </c>
      <c r="E540" s="7" t="n">
        <v>40.2558</v>
      </c>
      <c r="F540" s="7" t="n">
        <v>362.2709</v>
      </c>
      <c r="G540" s="3" t="n">
        <f aca="false">E540+F540</f>
        <v>402.5267</v>
      </c>
      <c r="H540" s="2" t="n">
        <v>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/>
      <c r="R540" s="2"/>
      <c r="S540" s="2" t="s">
        <v>1020</v>
      </c>
    </row>
    <row r="541" customFormat="false" ht="15" hidden="false" customHeight="false" outlineLevel="0" collapsed="false">
      <c r="A541" s="2" t="s">
        <v>1205</v>
      </c>
      <c r="B541" s="2" t="s">
        <v>1206</v>
      </c>
      <c r="C541" s="5" t="n">
        <v>46212</v>
      </c>
      <c r="D541" s="6" t="n">
        <f aca="false">YEAR(C541)</f>
        <v>2026</v>
      </c>
      <c r="E541" s="7" t="n">
        <v>114.0442</v>
      </c>
      <c r="F541" s="7" t="n">
        <v>1026.361</v>
      </c>
      <c r="G541" s="3" t="n">
        <f aca="false">E541+F541</f>
        <v>1140.4052</v>
      </c>
      <c r="H541" s="2" t="n">
        <v>0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/>
      <c r="R541" s="2"/>
      <c r="S541" s="2" t="s">
        <v>1020</v>
      </c>
    </row>
    <row r="542" customFormat="false" ht="15" hidden="false" customHeight="false" outlineLevel="0" collapsed="false">
      <c r="A542" s="2" t="s">
        <v>1207</v>
      </c>
      <c r="B542" s="2" t="s">
        <v>1208</v>
      </c>
      <c r="C542" s="5" t="n">
        <v>46212</v>
      </c>
      <c r="D542" s="6" t="n">
        <f aca="false">YEAR(C542)</f>
        <v>2026</v>
      </c>
      <c r="E542" s="7" t="n">
        <v>480.016</v>
      </c>
      <c r="F542" s="7" t="n">
        <v>4320.144</v>
      </c>
      <c r="G542" s="3" t="n">
        <f aca="false">E542+F542</f>
        <v>4800.16</v>
      </c>
      <c r="H542" s="2" t="n">
        <v>0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/>
      <c r="R542" s="2"/>
      <c r="S542" s="2" t="s">
        <v>1020</v>
      </c>
    </row>
    <row r="543" customFormat="false" ht="15" hidden="false" customHeight="false" outlineLevel="0" collapsed="false">
      <c r="A543" s="2" t="s">
        <v>1209</v>
      </c>
      <c r="B543" s="2" t="s">
        <v>1210</v>
      </c>
      <c r="C543" s="5" t="n">
        <v>46212</v>
      </c>
      <c r="D543" s="6" t="n">
        <f aca="false">YEAR(C543)</f>
        <v>2026</v>
      </c>
      <c r="E543" s="7" t="n">
        <v>2426.6171</v>
      </c>
      <c r="F543" s="7" t="n">
        <v>22633.1931</v>
      </c>
      <c r="G543" s="3" t="n">
        <f aca="false">E543+F543</f>
        <v>25059.8102</v>
      </c>
      <c r="H543" s="2" t="n">
        <v>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/>
      <c r="R543" s="2"/>
      <c r="S543" s="2" t="s">
        <v>1020</v>
      </c>
    </row>
    <row r="544" customFormat="false" ht="15" hidden="false" customHeight="false" outlineLevel="0" collapsed="false">
      <c r="A544" s="2" t="s">
        <v>1211</v>
      </c>
      <c r="B544" s="2" t="s">
        <v>1212</v>
      </c>
      <c r="C544" s="5" t="n">
        <v>46212</v>
      </c>
      <c r="D544" s="6" t="n">
        <f aca="false">YEAR(C544)</f>
        <v>2026</v>
      </c>
      <c r="E544" s="7" t="n">
        <v>87.5216</v>
      </c>
      <c r="F544" s="7" t="n">
        <v>918.9692</v>
      </c>
      <c r="G544" s="3" t="n">
        <f aca="false">E544+F544</f>
        <v>1006.4908</v>
      </c>
      <c r="H544" s="2" t="n">
        <v>0</v>
      </c>
      <c r="I544" s="2" t="n">
        <v>0</v>
      </c>
      <c r="J544" s="2" t="n">
        <v>0</v>
      </c>
      <c r="K544" s="2" t="n">
        <v>1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/>
      <c r="R544" s="2"/>
      <c r="S544" s="2" t="s">
        <v>1020</v>
      </c>
    </row>
    <row r="545" customFormat="false" ht="15" hidden="false" customHeight="false" outlineLevel="0" collapsed="false">
      <c r="A545" s="2" t="s">
        <v>1213</v>
      </c>
      <c r="B545" s="2" t="s">
        <v>1214</v>
      </c>
      <c r="C545" s="5" t="n">
        <v>46212</v>
      </c>
      <c r="D545" s="6" t="n">
        <f aca="false">YEAR(C545)</f>
        <v>2026</v>
      </c>
      <c r="E545" s="7" t="n">
        <v>715.7909</v>
      </c>
      <c r="F545" s="7" t="n">
        <v>7330.3954</v>
      </c>
      <c r="G545" s="3" t="n">
        <f aca="false">E545+F545</f>
        <v>8046.1863</v>
      </c>
      <c r="H545" s="2" t="n">
        <v>0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/>
      <c r="R545" s="2"/>
      <c r="S545" s="2" t="s">
        <v>1020</v>
      </c>
    </row>
    <row r="546" customFormat="false" ht="15" hidden="false" customHeight="false" outlineLevel="0" collapsed="false">
      <c r="A546" s="2" t="s">
        <v>1215</v>
      </c>
      <c r="B546" s="2" t="s">
        <v>1216</v>
      </c>
      <c r="C546" s="5" t="n">
        <v>46212</v>
      </c>
      <c r="D546" s="6" t="n">
        <f aca="false">YEAR(C546)</f>
        <v>2026</v>
      </c>
      <c r="E546" s="7" t="n">
        <v>20</v>
      </c>
      <c r="F546" s="7" t="n">
        <v>180</v>
      </c>
      <c r="G546" s="3" t="n">
        <f aca="false">E546+F546</f>
        <v>200</v>
      </c>
      <c r="H546" s="2" t="n">
        <v>0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/>
      <c r="R546" s="2"/>
      <c r="S546" s="2" t="s">
        <v>1020</v>
      </c>
    </row>
    <row r="547" customFormat="false" ht="15" hidden="false" customHeight="false" outlineLevel="0" collapsed="false">
      <c r="A547" s="2" t="s">
        <v>1217</v>
      </c>
      <c r="B547" s="2" t="s">
        <v>1218</v>
      </c>
      <c r="C547" s="5" t="n">
        <v>46213</v>
      </c>
      <c r="D547" s="6" t="n">
        <f aca="false">YEAR(C547)</f>
        <v>2026</v>
      </c>
      <c r="E547" s="7" t="n">
        <v>698.2194</v>
      </c>
      <c r="F547" s="7" t="n">
        <v>6635.6216</v>
      </c>
      <c r="G547" s="3" t="n">
        <f aca="false">E547+F547</f>
        <v>7333.841</v>
      </c>
      <c r="H547" s="2" t="n">
        <v>0</v>
      </c>
      <c r="I547" s="2" t="n">
        <v>0</v>
      </c>
      <c r="J547" s="2" t="n">
        <v>0</v>
      </c>
      <c r="K547" s="2" t="n">
        <v>0</v>
      </c>
      <c r="L547" s="2" t="n">
        <v>1</v>
      </c>
      <c r="M547" s="2" t="n">
        <v>0</v>
      </c>
      <c r="N547" s="2" t="n">
        <v>0</v>
      </c>
      <c r="O547" s="2" t="n">
        <v>0</v>
      </c>
      <c r="P547" s="2" t="n">
        <v>0</v>
      </c>
      <c r="Q547" s="2"/>
      <c r="R547" s="2"/>
      <c r="S547" s="2" t="s">
        <v>1020</v>
      </c>
    </row>
    <row r="548" customFormat="false" ht="15" hidden="false" customHeight="false" outlineLevel="0" collapsed="false">
      <c r="A548" s="2" t="s">
        <v>1219</v>
      </c>
      <c r="B548" s="2" t="s">
        <v>1220</v>
      </c>
      <c r="C548" s="5" t="n">
        <v>46213</v>
      </c>
      <c r="D548" s="6" t="n">
        <f aca="false">YEAR(C548)</f>
        <v>2026</v>
      </c>
      <c r="E548" s="7" t="n">
        <v>122.5412</v>
      </c>
      <c r="F548" s="7" t="n">
        <v>1102.8572</v>
      </c>
      <c r="G548" s="3" t="n">
        <f aca="false">E548+F548</f>
        <v>1225.3984</v>
      </c>
      <c r="H548" s="2" t="n">
        <v>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/>
      <c r="R548" s="2"/>
      <c r="S548" s="2" t="s">
        <v>1020</v>
      </c>
    </row>
    <row r="549" customFormat="false" ht="15" hidden="false" customHeight="false" outlineLevel="0" collapsed="false">
      <c r="A549" s="2" t="s">
        <v>1221</v>
      </c>
      <c r="B549" s="2" t="s">
        <v>1222</v>
      </c>
      <c r="C549" s="5" t="n">
        <v>46233</v>
      </c>
      <c r="D549" s="6" t="n">
        <f aca="false">YEAR(C549)</f>
        <v>2026</v>
      </c>
      <c r="E549" s="7" t="n">
        <v>5341</v>
      </c>
      <c r="F549" s="7" t="n">
        <v>56080.5</v>
      </c>
      <c r="G549" s="3" t="n">
        <f aca="false">E549+F549</f>
        <v>61421.5</v>
      </c>
      <c r="H549" s="2" t="n">
        <v>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/>
      <c r="R549" s="2"/>
      <c r="S549" s="2" t="s">
        <v>1020</v>
      </c>
    </row>
    <row r="550" customFormat="false" ht="15" hidden="false" customHeight="false" outlineLevel="0" collapsed="false">
      <c r="A550" s="2" t="s">
        <v>1223</v>
      </c>
      <c r="B550" s="2" t="s">
        <v>1224</v>
      </c>
      <c r="C550" s="5" t="n">
        <v>46241</v>
      </c>
      <c r="D550" s="6" t="n">
        <f aca="false">YEAR(C550)</f>
        <v>2026</v>
      </c>
      <c r="E550" s="7" t="n">
        <v>60.014</v>
      </c>
      <c r="F550" s="7" t="n">
        <v>540.1207</v>
      </c>
      <c r="G550" s="3" t="n">
        <f aca="false">E550+F550</f>
        <v>600.1347</v>
      </c>
      <c r="H550" s="2" t="n">
        <v>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/>
      <c r="R550" s="2"/>
      <c r="S550" s="2" t="s">
        <v>1020</v>
      </c>
    </row>
    <row r="551" customFormat="false" ht="15" hidden="false" customHeight="false" outlineLevel="0" collapsed="false">
      <c r="A551" s="2" t="s">
        <v>1225</v>
      </c>
      <c r="B551" s="2" t="s">
        <v>1226</v>
      </c>
      <c r="C551" s="5" t="n">
        <v>46259</v>
      </c>
      <c r="D551" s="6" t="n">
        <f aca="false">YEAR(C551)</f>
        <v>2026</v>
      </c>
      <c r="E551" s="7" t="n">
        <v>312.88</v>
      </c>
      <c r="F551" s="7" t="n">
        <v>2815.85</v>
      </c>
      <c r="G551" s="3" t="n">
        <f aca="false">E551+F551</f>
        <v>3128.73</v>
      </c>
      <c r="H551" s="2" t="n">
        <v>0</v>
      </c>
      <c r="I551" s="2" t="n">
        <v>0</v>
      </c>
      <c r="J551" s="2" t="n">
        <v>0</v>
      </c>
      <c r="K551" s="2" t="n">
        <v>0</v>
      </c>
      <c r="L551" s="2" t="n">
        <v>1</v>
      </c>
      <c r="M551" s="2" t="n">
        <v>0</v>
      </c>
      <c r="N551" s="2" t="n">
        <v>0</v>
      </c>
      <c r="O551" s="2" t="n">
        <v>0</v>
      </c>
      <c r="P551" s="2" t="n">
        <v>0</v>
      </c>
      <c r="Q551" s="2"/>
      <c r="R551" s="2"/>
      <c r="S551" s="2" t="s">
        <v>1020</v>
      </c>
    </row>
    <row r="552" customFormat="false" ht="15" hidden="false" customHeight="false" outlineLevel="0" collapsed="false">
      <c r="A552" s="2" t="s">
        <v>1227</v>
      </c>
      <c r="B552" s="2" t="s">
        <v>1228</v>
      </c>
      <c r="C552" s="5" t="n">
        <v>46266</v>
      </c>
      <c r="D552" s="6" t="n">
        <f aca="false">YEAR(C552)</f>
        <v>2026</v>
      </c>
      <c r="E552" s="7" t="n">
        <v>470.6808</v>
      </c>
      <c r="F552" s="7" t="n">
        <v>1882.7172</v>
      </c>
      <c r="G552" s="3" t="n">
        <f aca="false">E552+F552</f>
        <v>2353.398</v>
      </c>
      <c r="H552" s="2" t="n">
        <v>0</v>
      </c>
      <c r="I552" s="2" t="n">
        <v>0</v>
      </c>
      <c r="J552" s="2" t="n">
        <v>0</v>
      </c>
      <c r="K552" s="2" t="n">
        <v>1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/>
      <c r="R552" s="2"/>
      <c r="S552" s="2" t="s">
        <v>1020</v>
      </c>
    </row>
    <row r="553" customFormat="false" ht="15" hidden="false" customHeight="false" outlineLevel="0" collapsed="false">
      <c r="A553" s="2" t="s">
        <v>1229</v>
      </c>
      <c r="B553" s="2" t="s">
        <v>1230</v>
      </c>
      <c r="C553" s="5" t="n">
        <v>46266</v>
      </c>
      <c r="D553" s="6" t="n">
        <f aca="false">YEAR(C553)</f>
        <v>2026</v>
      </c>
      <c r="E553" s="7" t="n">
        <v>1359.646</v>
      </c>
      <c r="F553" s="7" t="n">
        <v>12236.7898</v>
      </c>
      <c r="G553" s="3" t="n">
        <f aca="false">E553+F553</f>
        <v>13596.4358</v>
      </c>
      <c r="H553" s="2" t="n">
        <v>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/>
      <c r="R553" s="2"/>
      <c r="S553" s="2" t="s">
        <v>1020</v>
      </c>
    </row>
    <row r="554" customFormat="false" ht="15" hidden="false" customHeight="false" outlineLevel="0" collapsed="false">
      <c r="A554" s="2" t="s">
        <v>1231</v>
      </c>
      <c r="B554" s="2" t="s">
        <v>1232</v>
      </c>
      <c r="C554" s="5" t="n">
        <v>46272</v>
      </c>
      <c r="D554" s="6" t="n">
        <f aca="false">YEAR(C554)</f>
        <v>2026</v>
      </c>
      <c r="E554" s="7" t="n">
        <v>60.0008</v>
      </c>
      <c r="F554" s="7" t="n">
        <v>540.0007</v>
      </c>
      <c r="G554" s="3" t="n">
        <f aca="false">E554+F554</f>
        <v>600.0015</v>
      </c>
      <c r="H554" s="2" t="n">
        <v>0</v>
      </c>
      <c r="I554" s="2" t="n">
        <v>0</v>
      </c>
      <c r="J554" s="2" t="n">
        <v>1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/>
      <c r="R554" s="2"/>
      <c r="S554" s="2" t="s">
        <v>1020</v>
      </c>
    </row>
    <row r="555" customFormat="false" ht="15" hidden="false" customHeight="false" outlineLevel="0" collapsed="false">
      <c r="A555" s="2" t="s">
        <v>1233</v>
      </c>
      <c r="B555" s="2" t="s">
        <v>1234</v>
      </c>
      <c r="C555" s="5" t="n">
        <v>46273</v>
      </c>
      <c r="D555" s="6" t="n">
        <f aca="false">YEAR(C555)</f>
        <v>2026</v>
      </c>
      <c r="E555" s="7" t="n">
        <v>615.4408</v>
      </c>
      <c r="F555" s="7" t="n">
        <v>6462.0694</v>
      </c>
      <c r="G555" s="3" t="n">
        <f aca="false">E555+F555</f>
        <v>7077.5102</v>
      </c>
      <c r="H555" s="2" t="n">
        <v>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/>
      <c r="R555" s="2"/>
      <c r="S555" s="2" t="s">
        <v>1020</v>
      </c>
    </row>
    <row r="556" customFormat="false" ht="15" hidden="false" customHeight="false" outlineLevel="0" collapsed="false">
      <c r="A556" s="2" t="s">
        <v>1235</v>
      </c>
      <c r="B556" s="2" t="s">
        <v>1236</v>
      </c>
      <c r="C556" s="5" t="n">
        <v>46274</v>
      </c>
      <c r="D556" s="6" t="n">
        <f aca="false">YEAR(C556)</f>
        <v>2026</v>
      </c>
      <c r="E556" s="7" t="n">
        <v>40.197</v>
      </c>
      <c r="F556" s="7" t="n">
        <v>610.053</v>
      </c>
      <c r="G556" s="3" t="n">
        <f aca="false">E556+F556</f>
        <v>650.25</v>
      </c>
      <c r="H556" s="2" t="n">
        <v>0</v>
      </c>
      <c r="I556" s="2" t="n">
        <v>0</v>
      </c>
      <c r="J556" s="2" t="n">
        <v>0</v>
      </c>
      <c r="K556" s="2" t="n">
        <v>1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/>
      <c r="R556" s="2"/>
      <c r="S556" s="2" t="s">
        <v>1020</v>
      </c>
    </row>
    <row r="557" customFormat="false" ht="15" hidden="false" customHeight="false" outlineLevel="0" collapsed="false">
      <c r="A557" s="2" t="s">
        <v>1237</v>
      </c>
      <c r="B557" s="2" t="s">
        <v>1238</v>
      </c>
      <c r="C557" s="5" t="n">
        <v>46286</v>
      </c>
      <c r="D557" s="6" t="n">
        <f aca="false">YEAR(C557)</f>
        <v>2026</v>
      </c>
      <c r="E557" s="7" t="n">
        <v>137.3078</v>
      </c>
      <c r="F557" s="7" t="n">
        <v>549.2214</v>
      </c>
      <c r="G557" s="3" t="n">
        <f aca="false">E557+F557</f>
        <v>686.5292</v>
      </c>
      <c r="H557" s="2" t="n">
        <v>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/>
      <c r="R557" s="2"/>
      <c r="S557" s="2" t="s">
        <v>1020</v>
      </c>
    </row>
    <row r="558" customFormat="false" ht="15" hidden="false" customHeight="false" outlineLevel="0" collapsed="false">
      <c r="A558" s="2" t="s">
        <v>1239</v>
      </c>
      <c r="B558" s="2" t="s">
        <v>1240</v>
      </c>
      <c r="C558" s="5" t="n">
        <v>46287</v>
      </c>
      <c r="D558" s="6" t="n">
        <f aca="false">YEAR(C558)</f>
        <v>2026</v>
      </c>
      <c r="E558" s="7" t="n">
        <v>566.9614</v>
      </c>
      <c r="F558" s="7" t="n">
        <v>5102.6431</v>
      </c>
      <c r="G558" s="3" t="n">
        <f aca="false">E558+F558</f>
        <v>5669.6045</v>
      </c>
      <c r="H558" s="2" t="n">
        <v>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/>
      <c r="R558" s="2"/>
      <c r="S558" s="2" t="s">
        <v>1020</v>
      </c>
    </row>
    <row r="559" customFormat="false" ht="15" hidden="false" customHeight="false" outlineLevel="0" collapsed="false">
      <c r="A559" s="2" t="s">
        <v>1241</v>
      </c>
      <c r="B559" s="2" t="s">
        <v>1242</v>
      </c>
      <c r="C559" s="5" t="n">
        <v>46294</v>
      </c>
      <c r="D559" s="6" t="n">
        <f aca="false">YEAR(C559)</f>
        <v>2026</v>
      </c>
      <c r="E559" s="7" t="n">
        <v>216</v>
      </c>
      <c r="F559" s="7" t="n">
        <v>864</v>
      </c>
      <c r="G559" s="3" t="n">
        <f aca="false">E559+F559</f>
        <v>1080</v>
      </c>
      <c r="H559" s="2" t="n">
        <v>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/>
      <c r="R559" s="2"/>
      <c r="S559" s="2" t="s">
        <v>1020</v>
      </c>
    </row>
    <row r="560" customFormat="false" ht="15" hidden="false" customHeight="false" outlineLevel="0" collapsed="false">
      <c r="A560" s="2" t="s">
        <v>1243</v>
      </c>
      <c r="B560" s="2" t="s">
        <v>1244</v>
      </c>
      <c r="C560" s="5" t="n">
        <v>46294</v>
      </c>
      <c r="D560" s="6" t="n">
        <f aca="false">YEAR(C560)</f>
        <v>2026</v>
      </c>
      <c r="E560" s="7" t="n">
        <v>299.7236</v>
      </c>
      <c r="F560" s="7" t="n">
        <v>2697.4992</v>
      </c>
      <c r="G560" s="3" t="n">
        <f aca="false">E560+F560</f>
        <v>2997.2228</v>
      </c>
      <c r="H560" s="2" t="n">
        <v>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/>
      <c r="R560" s="2"/>
      <c r="S560" s="2" t="s">
        <v>1020</v>
      </c>
    </row>
    <row r="561" customFormat="false" ht="15" hidden="false" customHeight="false" outlineLevel="0" collapsed="false">
      <c r="A561" s="2" t="s">
        <v>1245</v>
      </c>
      <c r="B561" s="2" t="s">
        <v>1246</v>
      </c>
      <c r="C561" s="5" t="n">
        <v>46294</v>
      </c>
      <c r="D561" s="6" t="n">
        <f aca="false">YEAR(C561)</f>
        <v>2026</v>
      </c>
      <c r="E561" s="7" t="n">
        <v>517.7936</v>
      </c>
      <c r="F561" s="7" t="n">
        <v>4660.1424</v>
      </c>
      <c r="G561" s="3" t="n">
        <f aca="false">E561+F561</f>
        <v>5177.936</v>
      </c>
      <c r="H561" s="2" t="n">
        <v>0</v>
      </c>
      <c r="I561" s="2" t="n">
        <v>0</v>
      </c>
      <c r="J561" s="2" t="n">
        <v>0</v>
      </c>
      <c r="K561" s="2" t="n">
        <v>1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/>
      <c r="R561" s="2"/>
      <c r="S561" s="2" t="s">
        <v>1020</v>
      </c>
    </row>
    <row r="562" customFormat="false" ht="15" hidden="false" customHeight="false" outlineLevel="0" collapsed="false">
      <c r="A562" s="2" t="s">
        <v>1247</v>
      </c>
      <c r="B562" s="2" t="s">
        <v>1248</v>
      </c>
      <c r="C562" s="5" t="n">
        <v>46294</v>
      </c>
      <c r="D562" s="6" t="n">
        <f aca="false">YEAR(C562)</f>
        <v>2026</v>
      </c>
      <c r="E562" s="7" t="n">
        <v>509.7397</v>
      </c>
      <c r="F562" s="7" t="n">
        <v>4587.608</v>
      </c>
      <c r="G562" s="3" t="n">
        <f aca="false">E562+F562</f>
        <v>5097.3477</v>
      </c>
      <c r="H562" s="2" t="n">
        <v>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/>
      <c r="R562" s="2"/>
      <c r="S562" s="2" t="s">
        <v>1020</v>
      </c>
    </row>
  </sheetData>
  <autoFilter ref="A1:S56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4" min="4" style="0" width="52"/>
  </cols>
  <sheetData>
    <row r="1" customFormat="false" ht="31.5" hidden="false" customHeight="true" outlineLevel="0" collapsed="false">
      <c r="A1" s="1" t="s">
        <v>1249</v>
      </c>
      <c r="B1" s="1" t="s">
        <v>1250</v>
      </c>
      <c r="C1" s="1" t="s">
        <v>1251</v>
      </c>
      <c r="D1" s="1" t="s">
        <v>7</v>
      </c>
    </row>
    <row r="2" customFormat="false" ht="15" hidden="false" customHeight="false" outlineLevel="0" collapsed="false">
      <c r="A2" s="2" t="s">
        <v>1252</v>
      </c>
      <c r="B2" s="5" t="n">
        <v>44488</v>
      </c>
      <c r="C2" s="5" t="n">
        <v>44852</v>
      </c>
      <c r="D2" s="2" t="s">
        <v>1253</v>
      </c>
    </row>
    <row r="3" customFormat="false" ht="15" hidden="false" customHeight="false" outlineLevel="0" collapsed="false">
      <c r="A3" s="2" t="s">
        <v>1254</v>
      </c>
      <c r="B3" s="5" t="n">
        <v>44853</v>
      </c>
      <c r="C3" s="5" t="n">
        <v>45223</v>
      </c>
      <c r="D3" s="2" t="s">
        <v>1255</v>
      </c>
    </row>
    <row r="4" customFormat="false" ht="15" hidden="false" customHeight="false" outlineLevel="0" collapsed="false">
      <c r="A4" s="2" t="s">
        <v>1256</v>
      </c>
      <c r="B4" s="5" t="n">
        <v>45224</v>
      </c>
      <c r="C4" s="5" t="n">
        <v>45580</v>
      </c>
      <c r="D4" s="2" t="s">
        <v>1255</v>
      </c>
    </row>
    <row r="5" customFormat="false" ht="15" hidden="false" customHeight="false" outlineLevel="0" collapsed="false">
      <c r="A5" s="2" t="s">
        <v>1257</v>
      </c>
      <c r="B5" s="5" t="n">
        <v>45581</v>
      </c>
      <c r="C5" s="5" t="n">
        <v>45916</v>
      </c>
      <c r="D5" s="2" t="s">
        <v>1255</v>
      </c>
    </row>
    <row r="6" customFormat="false" ht="15" hidden="false" customHeight="false" outlineLevel="0" collapsed="false">
      <c r="A6" s="2" t="s">
        <v>1258</v>
      </c>
      <c r="B6" s="5" t="n">
        <v>45917</v>
      </c>
      <c r="C6" s="5" t="n">
        <v>46280</v>
      </c>
      <c r="D6" s="2" t="s">
        <v>1255</v>
      </c>
    </row>
    <row r="7" customFormat="false" ht="15" hidden="false" customHeight="false" outlineLevel="0" collapsed="false">
      <c r="A7" s="2" t="s">
        <v>1259</v>
      </c>
      <c r="B7" s="5" t="n">
        <v>46281</v>
      </c>
      <c r="C7" s="5" t="n">
        <v>46294</v>
      </c>
      <c r="D7" s="2" t="s">
        <v>1260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2"/>
    <col collapsed="false" customWidth="true" hidden="false" outlineLevel="0" max="4" min="4" style="0" width="30"/>
    <col collapsed="false" customWidth="true" hidden="false" outlineLevel="0" max="5" min="5" style="0" width="44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1.5" hidden="false" customHeight="true" outlineLevel="0" collapsed="false">
      <c r="A1" s="1" t="s">
        <v>1249</v>
      </c>
      <c r="B1" s="1" t="s">
        <v>1250</v>
      </c>
      <c r="C1" s="1" t="s">
        <v>1251</v>
      </c>
      <c r="D1" s="1" t="s">
        <v>1261</v>
      </c>
      <c r="E1" s="1" t="s">
        <v>1262</v>
      </c>
      <c r="F1" s="1" t="s">
        <v>1263</v>
      </c>
      <c r="G1" s="1" t="s">
        <v>108</v>
      </c>
      <c r="H1" s="1" t="s">
        <v>1264</v>
      </c>
      <c r="I1" s="1" t="s">
        <v>1265</v>
      </c>
      <c r="J1" s="1" t="s">
        <v>1266</v>
      </c>
    </row>
    <row r="2" customFormat="false" ht="15" hidden="false" customHeight="false" outlineLevel="0" collapsed="false">
      <c r="A2" s="6" t="str">
        <f aca="false">Windows!A2</f>
        <v>Before 2022</v>
      </c>
      <c r="B2" s="8" t="n">
        <f aca="false">Windows!B2</f>
        <v>44488</v>
      </c>
      <c r="C2" s="8" t="n">
        <f aca="false">Windows!C2</f>
        <v>44852</v>
      </c>
      <c r="D2" s="2" t="s">
        <v>1267</v>
      </c>
      <c r="E2" s="2" t="s">
        <v>1268</v>
      </c>
      <c r="F2" s="6" t="n">
        <f aca="false">COUNTIFS(NLR_listings!$C:$C,"&gt;="&amp;B2,NLR_listings!$C:$C,"&lt;="&amp;C2,NLR_listings!$H:$H,1)</f>
        <v>12</v>
      </c>
      <c r="G2" s="3" t="n">
        <f aca="false">SUMIFS(NLR_listings!$G:$G,NLR_listings!$C:$C,"&gt;="&amp;B2,NLR_listings!$C:$C,"&lt;="&amp;C2,NLR_listings!$H:$H,1)</f>
        <v>11999.7101</v>
      </c>
      <c r="H2" s="6" t="n">
        <f aca="false">COUNTIFS(NLR_listings!$C:$C,"&gt;="&amp;B2,NLR_listings!$C:$C,"&lt;="&amp;C2)</f>
        <v>85</v>
      </c>
      <c r="I2" s="3" t="n">
        <f aca="false">SUMIFS(NLR_listings!$G:$G,NLR_listings!$C:$C,"&gt;="&amp;B2,NLR_listings!$C:$C,"&lt;="&amp;C2)</f>
        <v>127696.0581</v>
      </c>
      <c r="J2" s="9" t="n">
        <f aca="false">IF(I2=0,"",G2/I2)</f>
        <v>0.0939708733264336</v>
      </c>
    </row>
    <row r="3" customFormat="false" ht="15" hidden="false" customHeight="false" outlineLevel="0" collapsed="false">
      <c r="A3" s="6" t="str">
        <f aca="false">Windows!A2</f>
        <v>Before 2022</v>
      </c>
      <c r="B3" s="8" t="n">
        <f aca="false">Windows!B2</f>
        <v>44488</v>
      </c>
      <c r="C3" s="8" t="n">
        <f aca="false">Windows!C2</f>
        <v>44852</v>
      </c>
      <c r="D3" s="2" t="s">
        <v>111</v>
      </c>
      <c r="E3" s="2" t="s">
        <v>1269</v>
      </c>
      <c r="F3" s="6" t="n">
        <f aca="false">COUNTIFS(NLR_listings!$C:$C,"&gt;="&amp;B3,NLR_listings!$C:$C,"&lt;="&amp;C3,NLR_listings!$J:$J,1)</f>
        <v>17</v>
      </c>
      <c r="G3" s="3" t="n">
        <f aca="false">SUMIFS(NLR_listings!$G:$G,NLR_listings!$C:$C,"&gt;="&amp;B3,NLR_listings!$C:$C,"&lt;="&amp;C3,NLR_listings!$J:$J,1)</f>
        <v>14814.4793</v>
      </c>
      <c r="H3" s="6" t="n">
        <f aca="false">COUNTIFS(NLR_listings!$C:$C,"&gt;="&amp;B3,NLR_listings!$C:$C,"&lt;="&amp;C3)</f>
        <v>85</v>
      </c>
      <c r="I3" s="3" t="n">
        <f aca="false">SUMIFS(NLR_listings!$G:$G,NLR_listings!$C:$C,"&gt;="&amp;B3,NLR_listings!$C:$C,"&lt;="&amp;C3)</f>
        <v>127696.0581</v>
      </c>
      <c r="J3" s="9" t="n">
        <f aca="false">IF(I3=0,"",G3/I3)</f>
        <v>0.116013599169981</v>
      </c>
    </row>
    <row r="4" customFormat="false" ht="15" hidden="false" customHeight="false" outlineLevel="0" collapsed="false">
      <c r="A4" s="6" t="str">
        <f aca="false">Windows!A2</f>
        <v>Before 2022</v>
      </c>
      <c r="B4" s="8" t="n">
        <f aca="false">Windows!B2</f>
        <v>44488</v>
      </c>
      <c r="C4" s="8" t="n">
        <f aca="false">Windows!C2</f>
        <v>44852</v>
      </c>
      <c r="D4" s="2" t="s">
        <v>112</v>
      </c>
      <c r="E4" s="2" t="s">
        <v>1270</v>
      </c>
      <c r="F4" s="6" t="n">
        <f aca="false">COUNTIFS(NLR_listings!$C:$C,"&gt;="&amp;B4,NLR_listings!$C:$C,"&lt;="&amp;C4,NLR_listings!$K:$K,1)</f>
        <v>0</v>
      </c>
      <c r="G4" s="3" t="n">
        <f aca="false">SUMIFS(NLR_listings!$G:$G,NLR_listings!$C:$C,"&gt;="&amp;B4,NLR_listings!$C:$C,"&lt;="&amp;C4,NLR_listings!$K:$K,1)</f>
        <v>0</v>
      </c>
      <c r="H4" s="6" t="n">
        <f aca="false">COUNTIFS(NLR_listings!$C:$C,"&gt;="&amp;B4,NLR_listings!$C:$C,"&lt;="&amp;C4)</f>
        <v>85</v>
      </c>
      <c r="I4" s="3" t="n">
        <f aca="false">SUMIFS(NLR_listings!$G:$G,NLR_listings!$C:$C,"&gt;="&amp;B4,NLR_listings!$C:$C,"&lt;="&amp;C4)</f>
        <v>127696.0581</v>
      </c>
      <c r="J4" s="9" t="n">
        <f aca="false">IF(I4=0,"",G4/I4)</f>
        <v>0</v>
      </c>
    </row>
    <row r="5" customFormat="false" ht="15" hidden="false" customHeight="false" outlineLevel="0" collapsed="false">
      <c r="A5" s="6" t="str">
        <f aca="false">Windows!A2</f>
        <v>Before 2022</v>
      </c>
      <c r="B5" s="8" t="n">
        <f aca="false">Windows!B2</f>
        <v>44488</v>
      </c>
      <c r="C5" s="8" t="n">
        <f aca="false">Windows!C2</f>
        <v>44852</v>
      </c>
      <c r="D5" s="2" t="s">
        <v>113</v>
      </c>
      <c r="E5" s="2" t="s">
        <v>1271</v>
      </c>
      <c r="F5" s="6" t="n">
        <f aca="false">COUNTIFS(NLR_listings!$C:$C,"&gt;="&amp;B5,NLR_listings!$C:$C,"&lt;="&amp;C5,NLR_listings!$L:$L,1)</f>
        <v>0</v>
      </c>
      <c r="G5" s="3" t="n">
        <f aca="false">SUMIFS(NLR_listings!$G:$G,NLR_listings!$C:$C,"&gt;="&amp;B5,NLR_listings!$C:$C,"&lt;="&amp;C5,NLR_listings!$L:$L,1)</f>
        <v>0</v>
      </c>
      <c r="H5" s="6" t="n">
        <f aca="false">COUNTIFS(NLR_listings!$C:$C,"&gt;="&amp;B5,NLR_listings!$C:$C,"&lt;="&amp;C5)</f>
        <v>85</v>
      </c>
      <c r="I5" s="3" t="n">
        <f aca="false">SUMIFS(NLR_listings!$G:$G,NLR_listings!$C:$C,"&gt;="&amp;B5,NLR_listings!$C:$C,"&lt;="&amp;C5)</f>
        <v>127696.0581</v>
      </c>
      <c r="J5" s="9" t="n">
        <f aca="false">IF(I5=0,"",G5/I5)</f>
        <v>0</v>
      </c>
    </row>
    <row r="6" customFormat="false" ht="15" hidden="false" customHeight="false" outlineLevel="0" collapsed="false">
      <c r="A6" s="6" t="str">
        <f aca="false">Windows!A2</f>
        <v>Before 2022</v>
      </c>
      <c r="B6" s="8" t="n">
        <f aca="false">Windows!B2</f>
        <v>44488</v>
      </c>
      <c r="C6" s="8" t="n">
        <f aca="false">Windows!C2</f>
        <v>44852</v>
      </c>
      <c r="D6" s="2" t="s">
        <v>114</v>
      </c>
      <c r="E6" s="2" t="s">
        <v>1272</v>
      </c>
      <c r="F6" s="6" t="n">
        <f aca="false">COUNTIFS(NLR_listings!$C:$C,"&gt;="&amp;B6,NLR_listings!$C:$C,"&lt;="&amp;C6,NLR_listings!$M:$M,1)</f>
        <v>1</v>
      </c>
      <c r="G6" s="3" t="n">
        <f aca="false">SUMIFS(NLR_listings!$G:$G,NLR_listings!$C:$C,"&gt;="&amp;B6,NLR_listings!$C:$C,"&lt;="&amp;C6,NLR_listings!$M:$M,1)</f>
        <v>13458.0204</v>
      </c>
      <c r="H6" s="6" t="n">
        <f aca="false">COUNTIFS(NLR_listings!$C:$C,"&gt;="&amp;B6,NLR_listings!$C:$C,"&lt;="&amp;C6)</f>
        <v>85</v>
      </c>
      <c r="I6" s="3" t="n">
        <f aca="false">SUMIFS(NLR_listings!$G:$G,NLR_listings!$C:$C,"&gt;="&amp;B6,NLR_listings!$C:$C,"&lt;="&amp;C6)</f>
        <v>127696.0581</v>
      </c>
      <c r="J6" s="9" t="n">
        <f aca="false">IF(I6=0,"",G6/I6)</f>
        <v>0.105391040257961</v>
      </c>
    </row>
    <row r="7" customFormat="false" ht="15" hidden="false" customHeight="false" outlineLevel="0" collapsed="false">
      <c r="A7" s="6" t="str">
        <f aca="false">Windows!A2</f>
        <v>Before 2022</v>
      </c>
      <c r="B7" s="8" t="n">
        <f aca="false">Windows!B2</f>
        <v>44488</v>
      </c>
      <c r="C7" s="8" t="n">
        <f aca="false">Windows!C2</f>
        <v>44852</v>
      </c>
      <c r="D7" s="2" t="s">
        <v>115</v>
      </c>
      <c r="E7" s="2" t="s">
        <v>1273</v>
      </c>
      <c r="F7" s="6" t="n">
        <f aca="false">COUNTIFS(NLR_listings!$C:$C,"&gt;="&amp;B7,NLR_listings!$C:$C,"&lt;="&amp;C7,NLR_listings!$N:$N,1)</f>
        <v>2</v>
      </c>
      <c r="G7" s="3" t="n">
        <f aca="false">SUMIFS(NLR_listings!$G:$G,NLR_listings!$C:$C,"&gt;="&amp;B7,NLR_listings!$C:$C,"&lt;="&amp;C7,NLR_listings!$N:$N,1)</f>
        <v>420.1156</v>
      </c>
      <c r="H7" s="6" t="n">
        <f aca="false">COUNTIFS(NLR_listings!$C:$C,"&gt;="&amp;B7,NLR_listings!$C:$C,"&lt;="&amp;C7)</f>
        <v>85</v>
      </c>
      <c r="I7" s="3" t="n">
        <f aca="false">SUMIFS(NLR_listings!$G:$G,NLR_listings!$C:$C,"&gt;="&amp;B7,NLR_listings!$C:$C,"&lt;="&amp;C7)</f>
        <v>127696.0581</v>
      </c>
      <c r="J7" s="9" t="n">
        <f aca="false">IF(I7=0,"",G7/I7)</f>
        <v>0.00328996529924991</v>
      </c>
    </row>
    <row r="8" customFormat="false" ht="15" hidden="false" customHeight="false" outlineLevel="0" collapsed="false">
      <c r="A8" s="6" t="str">
        <f aca="false">Windows!A2</f>
        <v>Before 2022</v>
      </c>
      <c r="B8" s="8" t="n">
        <f aca="false">Windows!B2</f>
        <v>44488</v>
      </c>
      <c r="C8" s="8" t="n">
        <f aca="false">Windows!C2</f>
        <v>44852</v>
      </c>
      <c r="D8" s="2" t="s">
        <v>116</v>
      </c>
      <c r="E8" s="2" t="s">
        <v>1274</v>
      </c>
      <c r="F8" s="6" t="n">
        <f aca="false">COUNTIFS(NLR_listings!$C:$C,"&gt;="&amp;B8,NLR_listings!$C:$C,"&lt;="&amp;C8,NLR_listings!$O:$O,1)</f>
        <v>0</v>
      </c>
      <c r="G8" s="3" t="n">
        <f aca="false">SUMIFS(NLR_listings!$G:$G,NLR_listings!$C:$C,"&gt;="&amp;B8,NLR_listings!$C:$C,"&lt;="&amp;C8,NLR_listings!$O:$O,1)</f>
        <v>0</v>
      </c>
      <c r="H8" s="6" t="n">
        <f aca="false">COUNTIFS(NLR_listings!$C:$C,"&gt;="&amp;B8,NLR_listings!$C:$C,"&lt;="&amp;C8)</f>
        <v>85</v>
      </c>
      <c r="I8" s="3" t="n">
        <f aca="false">SUMIFS(NLR_listings!$G:$G,NLR_listings!$C:$C,"&gt;="&amp;B8,NLR_listings!$C:$C,"&lt;="&amp;C8)</f>
        <v>127696.0581</v>
      </c>
      <c r="J8" s="9" t="n">
        <f aca="false">IF(I8=0,"",G8/I8)</f>
        <v>0</v>
      </c>
    </row>
    <row r="9" customFormat="false" ht="15" hidden="false" customHeight="false" outlineLevel="0" collapsed="false">
      <c r="A9" s="6" t="str">
        <f aca="false">Windows!A2</f>
        <v>Before 2022</v>
      </c>
      <c r="B9" s="8" t="n">
        <f aca="false">Windows!B2</f>
        <v>44488</v>
      </c>
      <c r="C9" s="8" t="n">
        <f aca="false">Windows!C2</f>
        <v>44852</v>
      </c>
      <c r="D9" s="2" t="s">
        <v>117</v>
      </c>
      <c r="E9" s="2" t="s">
        <v>1275</v>
      </c>
      <c r="F9" s="6" t="n">
        <f aca="false">COUNTIFS(NLR_listings!$C:$C,"&gt;="&amp;B9,NLR_listings!$C:$C,"&lt;="&amp;C9,NLR_listings!$P:$P,1)</f>
        <v>1</v>
      </c>
      <c r="G9" s="3" t="n">
        <f aca="false">SUMIFS(NLR_listings!$G:$G,NLR_listings!$C:$C,"&gt;="&amp;B9,NLR_listings!$C:$C,"&lt;="&amp;C9,NLR_listings!$P:$P,1)</f>
        <v>125</v>
      </c>
      <c r="H9" s="6" t="n">
        <f aca="false">COUNTIFS(NLR_listings!$C:$C,"&gt;="&amp;B9,NLR_listings!$C:$C,"&lt;="&amp;C9)</f>
        <v>85</v>
      </c>
      <c r="I9" s="3" t="n">
        <f aca="false">SUMIFS(NLR_listings!$G:$G,NLR_listings!$C:$C,"&gt;="&amp;B9,NLR_listings!$C:$C,"&lt;="&amp;C9)</f>
        <v>127696.0581</v>
      </c>
      <c r="J9" s="9" t="n">
        <f aca="false">IF(I9=0,"",G9/I9)</f>
        <v>0.000978886912093334</v>
      </c>
    </row>
    <row r="10" customFormat="false" ht="15" hidden="false" customHeight="false" outlineLevel="0" collapsed="false">
      <c r="A10" s="6" t="str">
        <f aca="false">Windows!A3</f>
        <v>After 2022</v>
      </c>
      <c r="B10" s="8" t="n">
        <f aca="false">Windows!B3</f>
        <v>44853</v>
      </c>
      <c r="C10" s="8" t="n">
        <f aca="false">Windows!C3</f>
        <v>45223</v>
      </c>
      <c r="D10" s="2" t="s">
        <v>1267</v>
      </c>
      <c r="E10" s="2" t="s">
        <v>1268</v>
      </c>
      <c r="F10" s="6" t="n">
        <f aca="false">COUNTIFS(NLR_listings!$C:$C,"&gt;="&amp;B10,NLR_listings!$C:$C,"&lt;="&amp;C10,NLR_listings!$H:$H,1)</f>
        <v>9</v>
      </c>
      <c r="G10" s="3" t="n">
        <f aca="false">SUMIFS(NLR_listings!$G:$G,NLR_listings!$C:$C,"&gt;="&amp;B10,NLR_listings!$C:$C,"&lt;="&amp;C10,NLR_listings!$H:$H,1)</f>
        <v>4526.9223</v>
      </c>
      <c r="H10" s="6" t="n">
        <f aca="false">COUNTIFS(NLR_listings!$C:$C,"&gt;="&amp;B10,NLR_listings!$C:$C,"&lt;="&amp;C10)</f>
        <v>79</v>
      </c>
      <c r="I10" s="3" t="n">
        <f aca="false">SUMIFS(NLR_listings!$G:$G,NLR_listings!$C:$C,"&gt;="&amp;B10,NLR_listings!$C:$C,"&lt;="&amp;C10)</f>
        <v>47268.977</v>
      </c>
      <c r="J10" s="9" t="n">
        <f aca="false">IF(I10=0,"",G10/I10)</f>
        <v>0.0957694155301901</v>
      </c>
    </row>
    <row r="11" customFormat="false" ht="15" hidden="false" customHeight="false" outlineLevel="0" collapsed="false">
      <c r="A11" s="6" t="str">
        <f aca="false">Windows!A3</f>
        <v>After 2022</v>
      </c>
      <c r="B11" s="8" t="n">
        <f aca="false">Windows!B3</f>
        <v>44853</v>
      </c>
      <c r="C11" s="8" t="n">
        <f aca="false">Windows!C3</f>
        <v>45223</v>
      </c>
      <c r="D11" s="2" t="s">
        <v>111</v>
      </c>
      <c r="E11" s="2" t="s">
        <v>1269</v>
      </c>
      <c r="F11" s="6" t="n">
        <f aca="false">COUNTIFS(NLR_listings!$C:$C,"&gt;="&amp;B11,NLR_listings!$C:$C,"&lt;="&amp;C11,NLR_listings!$J:$J,1)</f>
        <v>17</v>
      </c>
      <c r="G11" s="3" t="n">
        <f aca="false">SUMIFS(NLR_listings!$G:$G,NLR_listings!$C:$C,"&gt;="&amp;B11,NLR_listings!$C:$C,"&lt;="&amp;C11,NLR_listings!$J:$J,1)</f>
        <v>8215.178</v>
      </c>
      <c r="H11" s="6" t="n">
        <f aca="false">COUNTIFS(NLR_listings!$C:$C,"&gt;="&amp;B11,NLR_listings!$C:$C,"&lt;="&amp;C11)</f>
        <v>79</v>
      </c>
      <c r="I11" s="3" t="n">
        <f aca="false">SUMIFS(NLR_listings!$G:$G,NLR_listings!$C:$C,"&gt;="&amp;B11,NLR_listings!$C:$C,"&lt;="&amp;C11)</f>
        <v>47268.977</v>
      </c>
      <c r="J11" s="9" t="n">
        <f aca="false">IF(I11=0,"",G11/I11)</f>
        <v>0.173796399274729</v>
      </c>
    </row>
    <row r="12" customFormat="false" ht="15" hidden="false" customHeight="false" outlineLevel="0" collapsed="false">
      <c r="A12" s="6" t="str">
        <f aca="false">Windows!A3</f>
        <v>After 2022</v>
      </c>
      <c r="B12" s="8" t="n">
        <f aca="false">Windows!B3</f>
        <v>44853</v>
      </c>
      <c r="C12" s="8" t="n">
        <f aca="false">Windows!C3</f>
        <v>45223</v>
      </c>
      <c r="D12" s="2" t="s">
        <v>112</v>
      </c>
      <c r="E12" s="2" t="s">
        <v>1270</v>
      </c>
      <c r="F12" s="6" t="n">
        <f aca="false">COUNTIFS(NLR_listings!$C:$C,"&gt;="&amp;B12,NLR_listings!$C:$C,"&lt;="&amp;C12,NLR_listings!$K:$K,1)</f>
        <v>0</v>
      </c>
      <c r="G12" s="3" t="n">
        <f aca="false">SUMIFS(NLR_listings!$G:$G,NLR_listings!$C:$C,"&gt;="&amp;B12,NLR_listings!$C:$C,"&lt;="&amp;C12,NLR_listings!$K:$K,1)</f>
        <v>0</v>
      </c>
      <c r="H12" s="6" t="n">
        <f aca="false">COUNTIFS(NLR_listings!$C:$C,"&gt;="&amp;B12,NLR_listings!$C:$C,"&lt;="&amp;C12)</f>
        <v>79</v>
      </c>
      <c r="I12" s="3" t="n">
        <f aca="false">SUMIFS(NLR_listings!$G:$G,NLR_listings!$C:$C,"&gt;="&amp;B12,NLR_listings!$C:$C,"&lt;="&amp;C12)</f>
        <v>47268.977</v>
      </c>
      <c r="J12" s="9" t="n">
        <f aca="false">IF(I12=0,"",G12/I12)</f>
        <v>0</v>
      </c>
    </row>
    <row r="13" customFormat="false" ht="15" hidden="false" customHeight="false" outlineLevel="0" collapsed="false">
      <c r="A13" s="6" t="str">
        <f aca="false">Windows!A3</f>
        <v>After 2022</v>
      </c>
      <c r="B13" s="8" t="n">
        <f aca="false">Windows!B3</f>
        <v>44853</v>
      </c>
      <c r="C13" s="8" t="n">
        <f aca="false">Windows!C3</f>
        <v>45223</v>
      </c>
      <c r="D13" s="2" t="s">
        <v>113</v>
      </c>
      <c r="E13" s="2" t="s">
        <v>1271</v>
      </c>
      <c r="F13" s="6" t="n">
        <f aca="false">COUNTIFS(NLR_listings!$C:$C,"&gt;="&amp;B13,NLR_listings!$C:$C,"&lt;="&amp;C13,NLR_listings!$L:$L,1)</f>
        <v>0</v>
      </c>
      <c r="G13" s="3" t="n">
        <f aca="false">SUMIFS(NLR_listings!$G:$G,NLR_listings!$C:$C,"&gt;="&amp;B13,NLR_listings!$C:$C,"&lt;="&amp;C13,NLR_listings!$L:$L,1)</f>
        <v>0</v>
      </c>
      <c r="H13" s="6" t="n">
        <f aca="false">COUNTIFS(NLR_listings!$C:$C,"&gt;="&amp;B13,NLR_listings!$C:$C,"&lt;="&amp;C13)</f>
        <v>79</v>
      </c>
      <c r="I13" s="3" t="n">
        <f aca="false">SUMIFS(NLR_listings!$G:$G,NLR_listings!$C:$C,"&gt;="&amp;B13,NLR_listings!$C:$C,"&lt;="&amp;C13)</f>
        <v>47268.977</v>
      </c>
      <c r="J13" s="9" t="n">
        <f aca="false">IF(I13=0,"",G13/I13)</f>
        <v>0</v>
      </c>
    </row>
    <row r="14" customFormat="false" ht="15" hidden="false" customHeight="false" outlineLevel="0" collapsed="false">
      <c r="A14" s="6" t="str">
        <f aca="false">Windows!A3</f>
        <v>After 2022</v>
      </c>
      <c r="B14" s="8" t="n">
        <f aca="false">Windows!B3</f>
        <v>44853</v>
      </c>
      <c r="C14" s="8" t="n">
        <f aca="false">Windows!C3</f>
        <v>45223</v>
      </c>
      <c r="D14" s="2" t="s">
        <v>114</v>
      </c>
      <c r="E14" s="2" t="s">
        <v>1272</v>
      </c>
      <c r="F14" s="6" t="n">
        <f aca="false">COUNTIFS(NLR_listings!$C:$C,"&gt;="&amp;B14,NLR_listings!$C:$C,"&lt;="&amp;C14,NLR_listings!$M:$M,1)</f>
        <v>0</v>
      </c>
      <c r="G14" s="3" t="n">
        <f aca="false">SUMIFS(NLR_listings!$G:$G,NLR_listings!$C:$C,"&gt;="&amp;B14,NLR_listings!$C:$C,"&lt;="&amp;C14,NLR_listings!$M:$M,1)</f>
        <v>0</v>
      </c>
      <c r="H14" s="6" t="n">
        <f aca="false">COUNTIFS(NLR_listings!$C:$C,"&gt;="&amp;B14,NLR_listings!$C:$C,"&lt;="&amp;C14)</f>
        <v>79</v>
      </c>
      <c r="I14" s="3" t="n">
        <f aca="false">SUMIFS(NLR_listings!$G:$G,NLR_listings!$C:$C,"&gt;="&amp;B14,NLR_listings!$C:$C,"&lt;="&amp;C14)</f>
        <v>47268.977</v>
      </c>
      <c r="J14" s="9" t="n">
        <f aca="false">IF(I14=0,"",G14/I14)</f>
        <v>0</v>
      </c>
    </row>
    <row r="15" customFormat="false" ht="15" hidden="false" customHeight="false" outlineLevel="0" collapsed="false">
      <c r="A15" s="6" t="str">
        <f aca="false">Windows!A3</f>
        <v>After 2022</v>
      </c>
      <c r="B15" s="8" t="n">
        <f aca="false">Windows!B3</f>
        <v>44853</v>
      </c>
      <c r="C15" s="8" t="n">
        <f aca="false">Windows!C3</f>
        <v>45223</v>
      </c>
      <c r="D15" s="2" t="s">
        <v>115</v>
      </c>
      <c r="E15" s="2" t="s">
        <v>1273</v>
      </c>
      <c r="F15" s="6" t="n">
        <f aca="false">COUNTIFS(NLR_listings!$C:$C,"&gt;="&amp;B15,NLR_listings!$C:$C,"&lt;="&amp;C15,NLR_listings!$N:$N,1)</f>
        <v>2</v>
      </c>
      <c r="G15" s="3" t="n">
        <f aca="false">SUMIFS(NLR_listings!$G:$G,NLR_listings!$C:$C,"&gt;="&amp;B15,NLR_listings!$C:$C,"&lt;="&amp;C15,NLR_listings!$N:$N,1)</f>
        <v>635.2744</v>
      </c>
      <c r="H15" s="6" t="n">
        <f aca="false">COUNTIFS(NLR_listings!$C:$C,"&gt;="&amp;B15,NLR_listings!$C:$C,"&lt;="&amp;C15)</f>
        <v>79</v>
      </c>
      <c r="I15" s="3" t="n">
        <f aca="false">SUMIFS(NLR_listings!$G:$G,NLR_listings!$C:$C,"&gt;="&amp;B15,NLR_listings!$C:$C,"&lt;="&amp;C15)</f>
        <v>47268.977</v>
      </c>
      <c r="J15" s="9" t="n">
        <f aca="false">IF(I15=0,"",G15/I15)</f>
        <v>0.0134395631198027</v>
      </c>
    </row>
    <row r="16" customFormat="false" ht="15" hidden="false" customHeight="false" outlineLevel="0" collapsed="false">
      <c r="A16" s="6" t="str">
        <f aca="false">Windows!A3</f>
        <v>After 2022</v>
      </c>
      <c r="B16" s="8" t="n">
        <f aca="false">Windows!B3</f>
        <v>44853</v>
      </c>
      <c r="C16" s="8" t="n">
        <f aca="false">Windows!C3</f>
        <v>45223</v>
      </c>
      <c r="D16" s="2" t="s">
        <v>116</v>
      </c>
      <c r="E16" s="2" t="s">
        <v>1274</v>
      </c>
      <c r="F16" s="6" t="n">
        <f aca="false">COUNTIFS(NLR_listings!$C:$C,"&gt;="&amp;B16,NLR_listings!$C:$C,"&lt;="&amp;C16,NLR_listings!$O:$O,1)</f>
        <v>0</v>
      </c>
      <c r="G16" s="3" t="n">
        <f aca="false">SUMIFS(NLR_listings!$G:$G,NLR_listings!$C:$C,"&gt;="&amp;B16,NLR_listings!$C:$C,"&lt;="&amp;C16,NLR_listings!$O:$O,1)</f>
        <v>0</v>
      </c>
      <c r="H16" s="6" t="n">
        <f aca="false">COUNTIFS(NLR_listings!$C:$C,"&gt;="&amp;B16,NLR_listings!$C:$C,"&lt;="&amp;C16)</f>
        <v>79</v>
      </c>
      <c r="I16" s="3" t="n">
        <f aca="false">SUMIFS(NLR_listings!$G:$G,NLR_listings!$C:$C,"&gt;="&amp;B16,NLR_listings!$C:$C,"&lt;="&amp;C16)</f>
        <v>47268.977</v>
      </c>
      <c r="J16" s="9" t="n">
        <f aca="false">IF(I16=0,"",G16/I16)</f>
        <v>0</v>
      </c>
    </row>
    <row r="17" customFormat="false" ht="15" hidden="false" customHeight="false" outlineLevel="0" collapsed="false">
      <c r="A17" s="6" t="str">
        <f aca="false">Windows!A3</f>
        <v>After 2022</v>
      </c>
      <c r="B17" s="8" t="n">
        <f aca="false">Windows!B3</f>
        <v>44853</v>
      </c>
      <c r="C17" s="8" t="n">
        <f aca="false">Windows!C3</f>
        <v>45223</v>
      </c>
      <c r="D17" s="2" t="s">
        <v>117</v>
      </c>
      <c r="E17" s="2" t="s">
        <v>1275</v>
      </c>
      <c r="F17" s="6" t="n">
        <f aca="false">COUNTIFS(NLR_listings!$C:$C,"&gt;="&amp;B17,NLR_listings!$C:$C,"&lt;="&amp;C17,NLR_listings!$P:$P,1)</f>
        <v>2</v>
      </c>
      <c r="G17" s="3" t="n">
        <f aca="false">SUMIFS(NLR_listings!$G:$G,NLR_listings!$C:$C,"&gt;="&amp;B17,NLR_listings!$C:$C,"&lt;="&amp;C17,NLR_listings!$P:$P,1)</f>
        <v>1790.0169</v>
      </c>
      <c r="H17" s="6" t="n">
        <f aca="false">COUNTIFS(NLR_listings!$C:$C,"&gt;="&amp;B17,NLR_listings!$C:$C,"&lt;="&amp;C17)</f>
        <v>79</v>
      </c>
      <c r="I17" s="3" t="n">
        <f aca="false">SUMIFS(NLR_listings!$G:$G,NLR_listings!$C:$C,"&gt;="&amp;B17,NLR_listings!$C:$C,"&lt;="&amp;C17)</f>
        <v>47268.977</v>
      </c>
      <c r="J17" s="9" t="n">
        <f aca="false">IF(I17=0,"",G17/I17)</f>
        <v>0.0378687463449865</v>
      </c>
    </row>
    <row r="18" customFormat="false" ht="15" hidden="false" customHeight="false" outlineLevel="0" collapsed="false">
      <c r="A18" s="6" t="str">
        <f aca="false">Windows!A4</f>
        <v>After 2023</v>
      </c>
      <c r="B18" s="8" t="n">
        <f aca="false">Windows!B4</f>
        <v>45224</v>
      </c>
      <c r="C18" s="8" t="n">
        <f aca="false">Windows!C4</f>
        <v>45580</v>
      </c>
      <c r="D18" s="2" t="s">
        <v>1267</v>
      </c>
      <c r="E18" s="2" t="s">
        <v>1268</v>
      </c>
      <c r="F18" s="6" t="n">
        <f aca="false">COUNTIFS(NLR_listings!$C:$C,"&gt;="&amp;B18,NLR_listings!$C:$C,"&lt;="&amp;C18,NLR_listings!$H:$H,1)</f>
        <v>4</v>
      </c>
      <c r="G18" s="3" t="n">
        <f aca="false">SUMIFS(NLR_listings!$G:$G,NLR_listings!$C:$C,"&gt;="&amp;B18,NLR_listings!$C:$C,"&lt;="&amp;C18,NLR_listings!$H:$H,1)</f>
        <v>1557.1471</v>
      </c>
      <c r="H18" s="6" t="n">
        <f aca="false">COUNTIFS(NLR_listings!$C:$C,"&gt;="&amp;B18,NLR_listings!$C:$C,"&lt;="&amp;C18)</f>
        <v>67</v>
      </c>
      <c r="I18" s="3" t="n">
        <f aca="false">SUMIFS(NLR_listings!$G:$G,NLR_listings!$C:$C,"&gt;="&amp;B18,NLR_listings!$C:$C,"&lt;="&amp;C18)</f>
        <v>75293.7534</v>
      </c>
      <c r="J18" s="9" t="n">
        <f aca="false">IF(I18=0,"",G18/I18)</f>
        <v>0.0206809599692502</v>
      </c>
    </row>
    <row r="19" customFormat="false" ht="15" hidden="false" customHeight="false" outlineLevel="0" collapsed="false">
      <c r="A19" s="6" t="str">
        <f aca="false">Windows!A4</f>
        <v>After 2023</v>
      </c>
      <c r="B19" s="8" t="n">
        <f aca="false">Windows!B4</f>
        <v>45224</v>
      </c>
      <c r="C19" s="8" t="n">
        <f aca="false">Windows!C4</f>
        <v>45580</v>
      </c>
      <c r="D19" s="2" t="s">
        <v>111</v>
      </c>
      <c r="E19" s="2" t="s">
        <v>1269</v>
      </c>
      <c r="F19" s="6" t="n">
        <f aca="false">COUNTIFS(NLR_listings!$C:$C,"&gt;="&amp;B19,NLR_listings!$C:$C,"&lt;="&amp;C19,NLR_listings!$J:$J,1)</f>
        <v>7</v>
      </c>
      <c r="G19" s="3" t="n">
        <f aca="false">SUMIFS(NLR_listings!$G:$G,NLR_listings!$C:$C,"&gt;="&amp;B19,NLR_listings!$C:$C,"&lt;="&amp;C19,NLR_listings!$J:$J,1)</f>
        <v>3490.9668</v>
      </c>
      <c r="H19" s="6" t="n">
        <f aca="false">COUNTIFS(NLR_listings!$C:$C,"&gt;="&amp;B19,NLR_listings!$C:$C,"&lt;="&amp;C19)</f>
        <v>67</v>
      </c>
      <c r="I19" s="3" t="n">
        <f aca="false">SUMIFS(NLR_listings!$G:$G,NLR_listings!$C:$C,"&gt;="&amp;B19,NLR_listings!$C:$C,"&lt;="&amp;C19)</f>
        <v>75293.7534</v>
      </c>
      <c r="J19" s="9" t="n">
        <f aca="false">IF(I19=0,"",G19/I19)</f>
        <v>0.0463646271086281</v>
      </c>
    </row>
    <row r="20" customFormat="false" ht="15" hidden="false" customHeight="false" outlineLevel="0" collapsed="false">
      <c r="A20" s="6" t="str">
        <f aca="false">Windows!A4</f>
        <v>After 2023</v>
      </c>
      <c r="B20" s="8" t="n">
        <f aca="false">Windows!B4</f>
        <v>45224</v>
      </c>
      <c r="C20" s="8" t="n">
        <f aca="false">Windows!C4</f>
        <v>45580</v>
      </c>
      <c r="D20" s="2" t="s">
        <v>112</v>
      </c>
      <c r="E20" s="2" t="s">
        <v>1270</v>
      </c>
      <c r="F20" s="6" t="n">
        <f aca="false">COUNTIFS(NLR_listings!$C:$C,"&gt;="&amp;B20,NLR_listings!$C:$C,"&lt;="&amp;C20,NLR_listings!$K:$K,1)</f>
        <v>2</v>
      </c>
      <c r="G20" s="3" t="n">
        <f aca="false">SUMIFS(NLR_listings!$G:$G,NLR_listings!$C:$C,"&gt;="&amp;B20,NLR_listings!$C:$C,"&lt;="&amp;C20,NLR_listings!$K:$K,1)</f>
        <v>2101.086</v>
      </c>
      <c r="H20" s="6" t="n">
        <f aca="false">COUNTIFS(NLR_listings!$C:$C,"&gt;="&amp;B20,NLR_listings!$C:$C,"&lt;="&amp;C20)</f>
        <v>67</v>
      </c>
      <c r="I20" s="3" t="n">
        <f aca="false">SUMIFS(NLR_listings!$G:$G,NLR_listings!$C:$C,"&gt;="&amp;B20,NLR_listings!$C:$C,"&lt;="&amp;C20)</f>
        <v>75293.7534</v>
      </c>
      <c r="J20" s="9" t="n">
        <f aca="false">IF(I20=0,"",G20/I20)</f>
        <v>0.027905183433185</v>
      </c>
    </row>
    <row r="21" customFormat="false" ht="15" hidden="false" customHeight="false" outlineLevel="0" collapsed="false">
      <c r="A21" s="6" t="str">
        <f aca="false">Windows!A4</f>
        <v>After 2023</v>
      </c>
      <c r="B21" s="8" t="n">
        <f aca="false">Windows!B4</f>
        <v>45224</v>
      </c>
      <c r="C21" s="8" t="n">
        <f aca="false">Windows!C4</f>
        <v>45580</v>
      </c>
      <c r="D21" s="2" t="s">
        <v>113</v>
      </c>
      <c r="E21" s="2" t="s">
        <v>1271</v>
      </c>
      <c r="F21" s="6" t="n">
        <f aca="false">COUNTIFS(NLR_listings!$C:$C,"&gt;="&amp;B21,NLR_listings!$C:$C,"&lt;="&amp;C21,NLR_listings!$L:$L,1)</f>
        <v>0</v>
      </c>
      <c r="G21" s="3" t="n">
        <f aca="false">SUMIFS(NLR_listings!$G:$G,NLR_listings!$C:$C,"&gt;="&amp;B21,NLR_listings!$C:$C,"&lt;="&amp;C21,NLR_listings!$L:$L,1)</f>
        <v>0</v>
      </c>
      <c r="H21" s="6" t="n">
        <f aca="false">COUNTIFS(NLR_listings!$C:$C,"&gt;="&amp;B21,NLR_listings!$C:$C,"&lt;="&amp;C21)</f>
        <v>67</v>
      </c>
      <c r="I21" s="3" t="n">
        <f aca="false">SUMIFS(NLR_listings!$G:$G,NLR_listings!$C:$C,"&gt;="&amp;B21,NLR_listings!$C:$C,"&lt;="&amp;C21)</f>
        <v>75293.7534</v>
      </c>
      <c r="J21" s="9" t="n">
        <f aca="false">IF(I21=0,"",G21/I21)</f>
        <v>0</v>
      </c>
    </row>
    <row r="22" customFormat="false" ht="15" hidden="false" customHeight="false" outlineLevel="0" collapsed="false">
      <c r="A22" s="6" t="str">
        <f aca="false">Windows!A4</f>
        <v>After 2023</v>
      </c>
      <c r="B22" s="8" t="n">
        <f aca="false">Windows!B4</f>
        <v>45224</v>
      </c>
      <c r="C22" s="8" t="n">
        <f aca="false">Windows!C4</f>
        <v>45580</v>
      </c>
      <c r="D22" s="2" t="s">
        <v>114</v>
      </c>
      <c r="E22" s="2" t="s">
        <v>1272</v>
      </c>
      <c r="F22" s="6" t="n">
        <f aca="false">COUNTIFS(NLR_listings!$C:$C,"&gt;="&amp;B22,NLR_listings!$C:$C,"&lt;="&amp;C22,NLR_listings!$M:$M,1)</f>
        <v>2</v>
      </c>
      <c r="G22" s="3" t="n">
        <f aca="false">SUMIFS(NLR_listings!$G:$G,NLR_listings!$C:$C,"&gt;="&amp;B22,NLR_listings!$C:$C,"&lt;="&amp;C22,NLR_listings!$M:$M,1)</f>
        <v>3687.4479</v>
      </c>
      <c r="H22" s="6" t="n">
        <f aca="false">COUNTIFS(NLR_listings!$C:$C,"&gt;="&amp;B22,NLR_listings!$C:$C,"&lt;="&amp;C22)</f>
        <v>67</v>
      </c>
      <c r="I22" s="3" t="n">
        <f aca="false">SUMIFS(NLR_listings!$G:$G,NLR_listings!$C:$C,"&gt;="&amp;B22,NLR_listings!$C:$C,"&lt;="&amp;C22)</f>
        <v>75293.7534</v>
      </c>
      <c r="J22" s="9" t="n">
        <f aca="false">IF(I22=0,"",G22/I22)</f>
        <v>0.0489741543419988</v>
      </c>
    </row>
    <row r="23" customFormat="false" ht="15" hidden="false" customHeight="false" outlineLevel="0" collapsed="false">
      <c r="A23" s="6" t="str">
        <f aca="false">Windows!A4</f>
        <v>After 2023</v>
      </c>
      <c r="B23" s="8" t="n">
        <f aca="false">Windows!B4</f>
        <v>45224</v>
      </c>
      <c r="C23" s="8" t="n">
        <f aca="false">Windows!C4</f>
        <v>45580</v>
      </c>
      <c r="D23" s="2" t="s">
        <v>115</v>
      </c>
      <c r="E23" s="2" t="s">
        <v>1273</v>
      </c>
      <c r="F23" s="6" t="n">
        <f aca="false">COUNTIFS(NLR_listings!$C:$C,"&gt;="&amp;B23,NLR_listings!$C:$C,"&lt;="&amp;C23,NLR_listings!$N:$N,1)</f>
        <v>0</v>
      </c>
      <c r="G23" s="3" t="n">
        <f aca="false">SUMIFS(NLR_listings!$G:$G,NLR_listings!$C:$C,"&gt;="&amp;B23,NLR_listings!$C:$C,"&lt;="&amp;C23,NLR_listings!$N:$N,1)</f>
        <v>0</v>
      </c>
      <c r="H23" s="6" t="n">
        <f aca="false">COUNTIFS(NLR_listings!$C:$C,"&gt;="&amp;B23,NLR_listings!$C:$C,"&lt;="&amp;C23)</f>
        <v>67</v>
      </c>
      <c r="I23" s="3" t="n">
        <f aca="false">SUMIFS(NLR_listings!$G:$G,NLR_listings!$C:$C,"&gt;="&amp;B23,NLR_listings!$C:$C,"&lt;="&amp;C23)</f>
        <v>75293.7534</v>
      </c>
      <c r="J23" s="9" t="n">
        <f aca="false">IF(I23=0,"",G23/I23)</f>
        <v>0</v>
      </c>
    </row>
    <row r="24" customFormat="false" ht="15" hidden="false" customHeight="false" outlineLevel="0" collapsed="false">
      <c r="A24" s="6" t="str">
        <f aca="false">Windows!A4</f>
        <v>After 2023</v>
      </c>
      <c r="B24" s="8" t="n">
        <f aca="false">Windows!B4</f>
        <v>45224</v>
      </c>
      <c r="C24" s="8" t="n">
        <f aca="false">Windows!C4</f>
        <v>45580</v>
      </c>
      <c r="D24" s="2" t="s">
        <v>116</v>
      </c>
      <c r="E24" s="2" t="s">
        <v>1274</v>
      </c>
      <c r="F24" s="6" t="n">
        <f aca="false">COUNTIFS(NLR_listings!$C:$C,"&gt;="&amp;B24,NLR_listings!$C:$C,"&lt;="&amp;C24,NLR_listings!$O:$O,1)</f>
        <v>1</v>
      </c>
      <c r="G24" s="3" t="n">
        <f aca="false">SUMIFS(NLR_listings!$G:$G,NLR_listings!$C:$C,"&gt;="&amp;B24,NLR_listings!$C:$C,"&lt;="&amp;C24,NLR_listings!$O:$O,1)</f>
        <v>1513.2012</v>
      </c>
      <c r="H24" s="6" t="n">
        <f aca="false">COUNTIFS(NLR_listings!$C:$C,"&gt;="&amp;B24,NLR_listings!$C:$C,"&lt;="&amp;C24)</f>
        <v>67</v>
      </c>
      <c r="I24" s="3" t="n">
        <f aca="false">SUMIFS(NLR_listings!$G:$G,NLR_listings!$C:$C,"&gt;="&amp;B24,NLR_listings!$C:$C,"&lt;="&amp;C24)</f>
        <v>75293.7534</v>
      </c>
      <c r="J24" s="9" t="n">
        <f aca="false">IF(I24=0,"",G24/I24)</f>
        <v>0.0200973006613322</v>
      </c>
    </row>
    <row r="25" customFormat="false" ht="15" hidden="false" customHeight="false" outlineLevel="0" collapsed="false">
      <c r="A25" s="6" t="str">
        <f aca="false">Windows!A4</f>
        <v>After 2023</v>
      </c>
      <c r="B25" s="8" t="n">
        <f aca="false">Windows!B4</f>
        <v>45224</v>
      </c>
      <c r="C25" s="8" t="n">
        <f aca="false">Windows!C4</f>
        <v>45580</v>
      </c>
      <c r="D25" s="2" t="s">
        <v>117</v>
      </c>
      <c r="E25" s="2" t="s">
        <v>1275</v>
      </c>
      <c r="F25" s="6" t="n">
        <f aca="false">COUNTIFS(NLR_listings!$C:$C,"&gt;="&amp;B25,NLR_listings!$C:$C,"&lt;="&amp;C25,NLR_listings!$P:$P,1)</f>
        <v>2</v>
      </c>
      <c r="G25" s="3" t="n">
        <f aca="false">SUMIFS(NLR_listings!$G:$G,NLR_listings!$C:$C,"&gt;="&amp;B25,NLR_listings!$C:$C,"&lt;="&amp;C25,NLR_listings!$P:$P,1)</f>
        <v>317.375</v>
      </c>
      <c r="H25" s="6" t="n">
        <f aca="false">COUNTIFS(NLR_listings!$C:$C,"&gt;="&amp;B25,NLR_listings!$C:$C,"&lt;="&amp;C25)</f>
        <v>67</v>
      </c>
      <c r="I25" s="3" t="n">
        <f aca="false">SUMIFS(NLR_listings!$G:$G,NLR_listings!$C:$C,"&gt;="&amp;B25,NLR_listings!$C:$C,"&lt;="&amp;C25)</f>
        <v>75293.7534</v>
      </c>
      <c r="J25" s="9" t="n">
        <f aca="false">IF(I25=0,"",G25/I25)</f>
        <v>0.00421515711023114</v>
      </c>
    </row>
    <row r="26" customFormat="false" ht="15" hidden="false" customHeight="false" outlineLevel="0" collapsed="false">
      <c r="A26" s="6" t="str">
        <f aca="false">Windows!A5</f>
        <v>After 2024</v>
      </c>
      <c r="B26" s="8" t="n">
        <f aca="false">Windows!B5</f>
        <v>45581</v>
      </c>
      <c r="C26" s="8" t="n">
        <f aca="false">Windows!C5</f>
        <v>45916</v>
      </c>
      <c r="D26" s="2" t="s">
        <v>1267</v>
      </c>
      <c r="E26" s="2" t="s">
        <v>1268</v>
      </c>
      <c r="F26" s="6" t="n">
        <f aca="false">COUNTIFS(NLR_listings!$C:$C,"&gt;="&amp;B26,NLR_listings!$C:$C,"&lt;="&amp;C26,NLR_listings!$H:$H,1)</f>
        <v>11</v>
      </c>
      <c r="G26" s="3" t="n">
        <f aca="false">SUMIFS(NLR_listings!$G:$G,NLR_listings!$C:$C,"&gt;="&amp;B26,NLR_listings!$C:$C,"&lt;="&amp;C26,NLR_listings!$H:$H,1)</f>
        <v>8283.3413</v>
      </c>
      <c r="H26" s="6" t="n">
        <f aca="false">COUNTIFS(NLR_listings!$C:$C,"&gt;="&amp;B26,NLR_listings!$C:$C,"&lt;="&amp;C26)</f>
        <v>85</v>
      </c>
      <c r="I26" s="3" t="n">
        <f aca="false">SUMIFS(NLR_listings!$G:$G,NLR_listings!$C:$C,"&gt;="&amp;B26,NLR_listings!$C:$C,"&lt;="&amp;C26)</f>
        <v>175474.2894</v>
      </c>
      <c r="J26" s="9" t="n">
        <f aca="false">IF(I26=0,"",G26/I26)</f>
        <v>0.0472054414827566</v>
      </c>
    </row>
    <row r="27" customFormat="false" ht="15" hidden="false" customHeight="false" outlineLevel="0" collapsed="false">
      <c r="A27" s="6" t="str">
        <f aca="false">Windows!A5</f>
        <v>After 2024</v>
      </c>
      <c r="B27" s="8" t="n">
        <f aca="false">Windows!B5</f>
        <v>45581</v>
      </c>
      <c r="C27" s="8" t="n">
        <f aca="false">Windows!C5</f>
        <v>45916</v>
      </c>
      <c r="D27" s="2" t="s">
        <v>111</v>
      </c>
      <c r="E27" s="2" t="s">
        <v>1269</v>
      </c>
      <c r="F27" s="6" t="n">
        <f aca="false">COUNTIFS(NLR_listings!$C:$C,"&gt;="&amp;B27,NLR_listings!$C:$C,"&lt;="&amp;C27,NLR_listings!$J:$J,1)</f>
        <v>18</v>
      </c>
      <c r="G27" s="3" t="n">
        <f aca="false">SUMIFS(NLR_listings!$G:$G,NLR_listings!$C:$C,"&gt;="&amp;B27,NLR_listings!$C:$C,"&lt;="&amp;C27,NLR_listings!$J:$J,1)</f>
        <v>21777.2846</v>
      </c>
      <c r="H27" s="6" t="n">
        <f aca="false">COUNTIFS(NLR_listings!$C:$C,"&gt;="&amp;B27,NLR_listings!$C:$C,"&lt;="&amp;C27)</f>
        <v>85</v>
      </c>
      <c r="I27" s="3" t="n">
        <f aca="false">SUMIFS(NLR_listings!$G:$G,NLR_listings!$C:$C,"&gt;="&amp;B27,NLR_listings!$C:$C,"&lt;="&amp;C27)</f>
        <v>175474.2894</v>
      </c>
      <c r="J27" s="9" t="n">
        <f aca="false">IF(I27=0,"",G27/I27)</f>
        <v>0.124105273054321</v>
      </c>
    </row>
    <row r="28" customFormat="false" ht="15" hidden="false" customHeight="false" outlineLevel="0" collapsed="false">
      <c r="A28" s="6" t="str">
        <f aca="false">Windows!A5</f>
        <v>After 2024</v>
      </c>
      <c r="B28" s="8" t="n">
        <f aca="false">Windows!B5</f>
        <v>45581</v>
      </c>
      <c r="C28" s="8" t="n">
        <f aca="false">Windows!C5</f>
        <v>45916</v>
      </c>
      <c r="D28" s="2" t="s">
        <v>112</v>
      </c>
      <c r="E28" s="2" t="s">
        <v>1270</v>
      </c>
      <c r="F28" s="6" t="n">
        <f aca="false">COUNTIFS(NLR_listings!$C:$C,"&gt;="&amp;B28,NLR_listings!$C:$C,"&lt;="&amp;C28,NLR_listings!$K:$K,1)</f>
        <v>2</v>
      </c>
      <c r="G28" s="3" t="n">
        <f aca="false">SUMIFS(NLR_listings!$G:$G,NLR_listings!$C:$C,"&gt;="&amp;B28,NLR_listings!$C:$C,"&lt;="&amp;C28,NLR_listings!$K:$K,1)</f>
        <v>6454.881</v>
      </c>
      <c r="H28" s="6" t="n">
        <f aca="false">COUNTIFS(NLR_listings!$C:$C,"&gt;="&amp;B28,NLR_listings!$C:$C,"&lt;="&amp;C28)</f>
        <v>85</v>
      </c>
      <c r="I28" s="3" t="n">
        <f aca="false">SUMIFS(NLR_listings!$G:$G,NLR_listings!$C:$C,"&gt;="&amp;B28,NLR_listings!$C:$C,"&lt;="&amp;C28)</f>
        <v>175474.2894</v>
      </c>
      <c r="J28" s="9" t="n">
        <f aca="false">IF(I28=0,"",G28/I28)</f>
        <v>0.0367853377384869</v>
      </c>
    </row>
    <row r="29" customFormat="false" ht="15" hidden="false" customHeight="false" outlineLevel="0" collapsed="false">
      <c r="A29" s="6" t="str">
        <f aca="false">Windows!A5</f>
        <v>After 2024</v>
      </c>
      <c r="B29" s="8" t="n">
        <f aca="false">Windows!B5</f>
        <v>45581</v>
      </c>
      <c r="C29" s="8" t="n">
        <f aca="false">Windows!C5</f>
        <v>45916</v>
      </c>
      <c r="D29" s="2" t="s">
        <v>113</v>
      </c>
      <c r="E29" s="2" t="s">
        <v>1271</v>
      </c>
      <c r="F29" s="6" t="n">
        <f aca="false">COUNTIFS(NLR_listings!$C:$C,"&gt;="&amp;B29,NLR_listings!$C:$C,"&lt;="&amp;C29,NLR_listings!$L:$L,1)</f>
        <v>0</v>
      </c>
      <c r="G29" s="3" t="n">
        <f aca="false">SUMIFS(NLR_listings!$G:$G,NLR_listings!$C:$C,"&gt;="&amp;B29,NLR_listings!$C:$C,"&lt;="&amp;C29,NLR_listings!$L:$L,1)</f>
        <v>0</v>
      </c>
      <c r="H29" s="6" t="n">
        <f aca="false">COUNTIFS(NLR_listings!$C:$C,"&gt;="&amp;B29,NLR_listings!$C:$C,"&lt;="&amp;C29)</f>
        <v>85</v>
      </c>
      <c r="I29" s="3" t="n">
        <f aca="false">SUMIFS(NLR_listings!$G:$G,NLR_listings!$C:$C,"&gt;="&amp;B29,NLR_listings!$C:$C,"&lt;="&amp;C29)</f>
        <v>175474.2894</v>
      </c>
      <c r="J29" s="9" t="n">
        <f aca="false">IF(I29=0,"",G29/I29)</f>
        <v>0</v>
      </c>
    </row>
    <row r="30" customFormat="false" ht="15" hidden="false" customHeight="false" outlineLevel="0" collapsed="false">
      <c r="A30" s="6" t="str">
        <f aca="false">Windows!A5</f>
        <v>After 2024</v>
      </c>
      <c r="B30" s="8" t="n">
        <f aca="false">Windows!B5</f>
        <v>45581</v>
      </c>
      <c r="C30" s="8" t="n">
        <f aca="false">Windows!C5</f>
        <v>45916</v>
      </c>
      <c r="D30" s="2" t="s">
        <v>114</v>
      </c>
      <c r="E30" s="2" t="s">
        <v>1272</v>
      </c>
      <c r="F30" s="6" t="n">
        <f aca="false">COUNTIFS(NLR_listings!$C:$C,"&gt;="&amp;B30,NLR_listings!$C:$C,"&lt;="&amp;C30,NLR_listings!$M:$M,1)</f>
        <v>3</v>
      </c>
      <c r="G30" s="3" t="n">
        <f aca="false">SUMIFS(NLR_listings!$G:$G,NLR_listings!$C:$C,"&gt;="&amp;B30,NLR_listings!$C:$C,"&lt;="&amp;C30,NLR_listings!$M:$M,1)</f>
        <v>2800.0264</v>
      </c>
      <c r="H30" s="6" t="n">
        <f aca="false">COUNTIFS(NLR_listings!$C:$C,"&gt;="&amp;B30,NLR_listings!$C:$C,"&lt;="&amp;C30)</f>
        <v>85</v>
      </c>
      <c r="I30" s="3" t="n">
        <f aca="false">SUMIFS(NLR_listings!$G:$G,NLR_listings!$C:$C,"&gt;="&amp;B30,NLR_listings!$C:$C,"&lt;="&amp;C30)</f>
        <v>175474.2894</v>
      </c>
      <c r="J30" s="9" t="n">
        <f aca="false">IF(I30=0,"",G30/I30)</f>
        <v>0.015956904054572</v>
      </c>
    </row>
    <row r="31" customFormat="false" ht="15" hidden="false" customHeight="false" outlineLevel="0" collapsed="false">
      <c r="A31" s="6" t="str">
        <f aca="false">Windows!A5</f>
        <v>After 2024</v>
      </c>
      <c r="B31" s="8" t="n">
        <f aca="false">Windows!B5</f>
        <v>45581</v>
      </c>
      <c r="C31" s="8" t="n">
        <f aca="false">Windows!C5</f>
        <v>45916</v>
      </c>
      <c r="D31" s="2" t="s">
        <v>115</v>
      </c>
      <c r="E31" s="2" t="s">
        <v>1273</v>
      </c>
      <c r="F31" s="6" t="n">
        <f aca="false">COUNTIFS(NLR_listings!$C:$C,"&gt;="&amp;B31,NLR_listings!$C:$C,"&lt;="&amp;C31,NLR_listings!$N:$N,1)</f>
        <v>0</v>
      </c>
      <c r="G31" s="3" t="n">
        <f aca="false">SUMIFS(NLR_listings!$G:$G,NLR_listings!$C:$C,"&gt;="&amp;B31,NLR_listings!$C:$C,"&lt;="&amp;C31,NLR_listings!$N:$N,1)</f>
        <v>0</v>
      </c>
      <c r="H31" s="6" t="n">
        <f aca="false">COUNTIFS(NLR_listings!$C:$C,"&gt;="&amp;B31,NLR_listings!$C:$C,"&lt;="&amp;C31)</f>
        <v>85</v>
      </c>
      <c r="I31" s="3" t="n">
        <f aca="false">SUMIFS(NLR_listings!$G:$G,NLR_listings!$C:$C,"&gt;="&amp;B31,NLR_listings!$C:$C,"&lt;="&amp;C31)</f>
        <v>175474.2894</v>
      </c>
      <c r="J31" s="9" t="n">
        <f aca="false">IF(I31=0,"",G31/I31)</f>
        <v>0</v>
      </c>
    </row>
    <row r="32" customFormat="false" ht="15" hidden="false" customHeight="false" outlineLevel="0" collapsed="false">
      <c r="A32" s="6" t="str">
        <f aca="false">Windows!A5</f>
        <v>After 2024</v>
      </c>
      <c r="B32" s="8" t="n">
        <f aca="false">Windows!B5</f>
        <v>45581</v>
      </c>
      <c r="C32" s="8" t="n">
        <f aca="false">Windows!C5</f>
        <v>45916</v>
      </c>
      <c r="D32" s="2" t="s">
        <v>116</v>
      </c>
      <c r="E32" s="2" t="s">
        <v>1274</v>
      </c>
      <c r="F32" s="6" t="n">
        <f aca="false">COUNTIFS(NLR_listings!$C:$C,"&gt;="&amp;B32,NLR_listings!$C:$C,"&lt;="&amp;C32,NLR_listings!$O:$O,1)</f>
        <v>0</v>
      </c>
      <c r="G32" s="3" t="n">
        <f aca="false">SUMIFS(NLR_listings!$G:$G,NLR_listings!$C:$C,"&gt;="&amp;B32,NLR_listings!$C:$C,"&lt;="&amp;C32,NLR_listings!$O:$O,1)</f>
        <v>0</v>
      </c>
      <c r="H32" s="6" t="n">
        <f aca="false">COUNTIFS(NLR_listings!$C:$C,"&gt;="&amp;B32,NLR_listings!$C:$C,"&lt;="&amp;C32)</f>
        <v>85</v>
      </c>
      <c r="I32" s="3" t="n">
        <f aca="false">SUMIFS(NLR_listings!$G:$G,NLR_listings!$C:$C,"&gt;="&amp;B32,NLR_listings!$C:$C,"&lt;="&amp;C32)</f>
        <v>175474.2894</v>
      </c>
      <c r="J32" s="9" t="n">
        <f aca="false">IF(I32=0,"",G32/I32)</f>
        <v>0</v>
      </c>
    </row>
    <row r="33" customFormat="false" ht="15" hidden="false" customHeight="false" outlineLevel="0" collapsed="false">
      <c r="A33" s="6" t="str">
        <f aca="false">Windows!A5</f>
        <v>After 2024</v>
      </c>
      <c r="B33" s="8" t="n">
        <f aca="false">Windows!B5</f>
        <v>45581</v>
      </c>
      <c r="C33" s="8" t="n">
        <f aca="false">Windows!C5</f>
        <v>45916</v>
      </c>
      <c r="D33" s="2" t="s">
        <v>117</v>
      </c>
      <c r="E33" s="2" t="s">
        <v>1275</v>
      </c>
      <c r="F33" s="6" t="n">
        <f aca="false">COUNTIFS(NLR_listings!$C:$C,"&gt;="&amp;B33,NLR_listings!$C:$C,"&lt;="&amp;C33,NLR_listings!$P:$P,1)</f>
        <v>0</v>
      </c>
      <c r="G33" s="3" t="n">
        <f aca="false">SUMIFS(NLR_listings!$G:$G,NLR_listings!$C:$C,"&gt;="&amp;B33,NLR_listings!$C:$C,"&lt;="&amp;C33,NLR_listings!$P:$P,1)</f>
        <v>0</v>
      </c>
      <c r="H33" s="6" t="n">
        <f aca="false">COUNTIFS(NLR_listings!$C:$C,"&gt;="&amp;B33,NLR_listings!$C:$C,"&lt;="&amp;C33)</f>
        <v>85</v>
      </c>
      <c r="I33" s="3" t="n">
        <f aca="false">SUMIFS(NLR_listings!$G:$G,NLR_listings!$C:$C,"&gt;="&amp;B33,NLR_listings!$C:$C,"&lt;="&amp;C33)</f>
        <v>175474.2894</v>
      </c>
      <c r="J33" s="9" t="n">
        <f aca="false">IF(I33=0,"",G33/I33)</f>
        <v>0</v>
      </c>
    </row>
    <row r="34" customFormat="false" ht="15" hidden="false" customHeight="false" outlineLevel="0" collapsed="false">
      <c r="A34" s="6" t="str">
        <f aca="false">Windows!A6</f>
        <v>After 2025</v>
      </c>
      <c r="B34" s="8" t="n">
        <f aca="false">Windows!B6</f>
        <v>45917</v>
      </c>
      <c r="C34" s="8" t="n">
        <f aca="false">Windows!C6</f>
        <v>46280</v>
      </c>
      <c r="D34" s="2" t="s">
        <v>1267</v>
      </c>
      <c r="E34" s="2" t="s">
        <v>1268</v>
      </c>
      <c r="F34" s="6" t="n">
        <f aca="false">COUNTIFS(NLR_listings!$C:$C,"&gt;="&amp;B34,NLR_listings!$C:$C,"&lt;="&amp;C34,NLR_listings!$H:$H,1)</f>
        <v>17</v>
      </c>
      <c r="G34" s="3" t="n">
        <f aca="false">SUMIFS(NLR_listings!$G:$G,NLR_listings!$C:$C,"&gt;="&amp;B34,NLR_listings!$C:$C,"&lt;="&amp;C34,NLR_listings!$H:$H,1)</f>
        <v>18604.4479</v>
      </c>
      <c r="H34" s="6" t="n">
        <f aca="false">COUNTIFS(NLR_listings!$C:$C,"&gt;="&amp;B34,NLR_listings!$C:$C,"&lt;="&amp;C34)</f>
        <v>165</v>
      </c>
      <c r="I34" s="3" t="n">
        <f aca="false">SUMIFS(NLR_listings!$G:$G,NLR_listings!$C:$C,"&gt;="&amp;B34,NLR_listings!$C:$C,"&lt;="&amp;C34)</f>
        <v>508850.3364</v>
      </c>
      <c r="J34" s="9" t="n">
        <f aca="false">IF(I34=0,"",G34/I34)</f>
        <v>0.0365617286049612</v>
      </c>
    </row>
    <row r="35" customFormat="false" ht="15" hidden="false" customHeight="false" outlineLevel="0" collapsed="false">
      <c r="A35" s="6" t="str">
        <f aca="false">Windows!A6</f>
        <v>After 2025</v>
      </c>
      <c r="B35" s="8" t="n">
        <f aca="false">Windows!B6</f>
        <v>45917</v>
      </c>
      <c r="C35" s="8" t="n">
        <f aca="false">Windows!C6</f>
        <v>46280</v>
      </c>
      <c r="D35" s="2" t="s">
        <v>111</v>
      </c>
      <c r="E35" s="2" t="s">
        <v>1269</v>
      </c>
      <c r="F35" s="6" t="n">
        <f aca="false">COUNTIFS(NLR_listings!$C:$C,"&gt;="&amp;B35,NLR_listings!$C:$C,"&lt;="&amp;C35,NLR_listings!$J:$J,1)</f>
        <v>29</v>
      </c>
      <c r="G35" s="3" t="n">
        <f aca="false">SUMIFS(NLR_listings!$G:$G,NLR_listings!$C:$C,"&gt;="&amp;B35,NLR_listings!$C:$C,"&lt;="&amp;C35,NLR_listings!$J:$J,1)</f>
        <v>30044.8336</v>
      </c>
      <c r="H35" s="6" t="n">
        <f aca="false">COUNTIFS(NLR_listings!$C:$C,"&gt;="&amp;B35,NLR_listings!$C:$C,"&lt;="&amp;C35)</f>
        <v>165</v>
      </c>
      <c r="I35" s="3" t="n">
        <f aca="false">SUMIFS(NLR_listings!$G:$G,NLR_listings!$C:$C,"&gt;="&amp;B35,NLR_listings!$C:$C,"&lt;="&amp;C35)</f>
        <v>508850.3364</v>
      </c>
      <c r="J35" s="9" t="n">
        <f aca="false">IF(I35=0,"",G35/I35)</f>
        <v>0.0590445391321942</v>
      </c>
    </row>
    <row r="36" customFormat="false" ht="15" hidden="false" customHeight="false" outlineLevel="0" collapsed="false">
      <c r="A36" s="6" t="str">
        <f aca="false">Windows!A6</f>
        <v>After 2025</v>
      </c>
      <c r="B36" s="8" t="n">
        <f aca="false">Windows!B6</f>
        <v>45917</v>
      </c>
      <c r="C36" s="8" t="n">
        <f aca="false">Windows!C6</f>
        <v>46280</v>
      </c>
      <c r="D36" s="2" t="s">
        <v>112</v>
      </c>
      <c r="E36" s="2" t="s">
        <v>1270</v>
      </c>
      <c r="F36" s="6" t="n">
        <f aca="false">COUNTIFS(NLR_listings!$C:$C,"&gt;="&amp;B36,NLR_listings!$C:$C,"&lt;="&amp;C36,NLR_listings!$K:$K,1)</f>
        <v>9</v>
      </c>
      <c r="G36" s="3" t="n">
        <f aca="false">SUMIFS(NLR_listings!$G:$G,NLR_listings!$C:$C,"&gt;="&amp;B36,NLR_listings!$C:$C,"&lt;="&amp;C36,NLR_listings!$K:$K,1)</f>
        <v>14791.5781</v>
      </c>
      <c r="H36" s="6" t="n">
        <f aca="false">COUNTIFS(NLR_listings!$C:$C,"&gt;="&amp;B36,NLR_listings!$C:$C,"&lt;="&amp;C36)</f>
        <v>165</v>
      </c>
      <c r="I36" s="3" t="n">
        <f aca="false">SUMIFS(NLR_listings!$G:$G,NLR_listings!$C:$C,"&gt;="&amp;B36,NLR_listings!$C:$C,"&lt;="&amp;C36)</f>
        <v>508850.3364</v>
      </c>
      <c r="J36" s="9" t="n">
        <f aca="false">IF(I36=0,"",G36/I36)</f>
        <v>0.0290686220326531</v>
      </c>
    </row>
    <row r="37" customFormat="false" ht="15" hidden="false" customHeight="false" outlineLevel="0" collapsed="false">
      <c r="A37" s="6" t="str">
        <f aca="false">Windows!A6</f>
        <v>After 2025</v>
      </c>
      <c r="B37" s="8" t="n">
        <f aca="false">Windows!B6</f>
        <v>45917</v>
      </c>
      <c r="C37" s="8" t="n">
        <f aca="false">Windows!C6</f>
        <v>46280</v>
      </c>
      <c r="D37" s="2" t="s">
        <v>113</v>
      </c>
      <c r="E37" s="2" t="s">
        <v>1271</v>
      </c>
      <c r="F37" s="6" t="n">
        <f aca="false">COUNTIFS(NLR_listings!$C:$C,"&gt;="&amp;B37,NLR_listings!$C:$C,"&lt;="&amp;C37,NLR_listings!$L:$L,1)</f>
        <v>12</v>
      </c>
      <c r="G37" s="3" t="n">
        <f aca="false">SUMIFS(NLR_listings!$G:$G,NLR_listings!$C:$C,"&gt;="&amp;B37,NLR_listings!$C:$C,"&lt;="&amp;C37,NLR_listings!$L:$L,1)</f>
        <v>39983.4423</v>
      </c>
      <c r="H37" s="6" t="n">
        <f aca="false">COUNTIFS(NLR_listings!$C:$C,"&gt;="&amp;B37,NLR_listings!$C:$C,"&lt;="&amp;C37)</f>
        <v>165</v>
      </c>
      <c r="I37" s="3" t="n">
        <f aca="false">SUMIFS(NLR_listings!$G:$G,NLR_listings!$C:$C,"&gt;="&amp;B37,NLR_listings!$C:$C,"&lt;="&amp;C37)</f>
        <v>508850.3364</v>
      </c>
      <c r="J37" s="9" t="n">
        <f aca="false">IF(I37=0,"",G37/I37)</f>
        <v>0.0785760358986372</v>
      </c>
    </row>
    <row r="38" customFormat="false" ht="15" hidden="false" customHeight="false" outlineLevel="0" collapsed="false">
      <c r="A38" s="6" t="str">
        <f aca="false">Windows!A6</f>
        <v>After 2025</v>
      </c>
      <c r="B38" s="8" t="n">
        <f aca="false">Windows!B6</f>
        <v>45917</v>
      </c>
      <c r="C38" s="8" t="n">
        <f aca="false">Windows!C6</f>
        <v>46280</v>
      </c>
      <c r="D38" s="2" t="s">
        <v>114</v>
      </c>
      <c r="E38" s="2" t="s">
        <v>1272</v>
      </c>
      <c r="F38" s="6" t="n">
        <f aca="false">COUNTIFS(NLR_listings!$C:$C,"&gt;="&amp;B38,NLR_listings!$C:$C,"&lt;="&amp;C38,NLR_listings!$M:$M,1)</f>
        <v>1</v>
      </c>
      <c r="G38" s="3" t="n">
        <f aca="false">SUMIFS(NLR_listings!$G:$G,NLR_listings!$C:$C,"&gt;="&amp;B38,NLR_listings!$C:$C,"&lt;="&amp;C38,NLR_listings!$M:$M,1)</f>
        <v>5060.7296</v>
      </c>
      <c r="H38" s="6" t="n">
        <f aca="false">COUNTIFS(NLR_listings!$C:$C,"&gt;="&amp;B38,NLR_listings!$C:$C,"&lt;="&amp;C38)</f>
        <v>165</v>
      </c>
      <c r="I38" s="3" t="n">
        <f aca="false">SUMIFS(NLR_listings!$G:$G,NLR_listings!$C:$C,"&gt;="&amp;B38,NLR_listings!$C:$C,"&lt;="&amp;C38)</f>
        <v>508850.3364</v>
      </c>
      <c r="J38" s="9" t="n">
        <f aca="false">IF(I38=0,"",G38/I38)</f>
        <v>0.00994541859951102</v>
      </c>
    </row>
    <row r="39" customFormat="false" ht="15" hidden="false" customHeight="false" outlineLevel="0" collapsed="false">
      <c r="A39" s="6" t="str">
        <f aca="false">Windows!A6</f>
        <v>After 2025</v>
      </c>
      <c r="B39" s="8" t="n">
        <f aca="false">Windows!B6</f>
        <v>45917</v>
      </c>
      <c r="C39" s="8" t="n">
        <f aca="false">Windows!C6</f>
        <v>46280</v>
      </c>
      <c r="D39" s="2" t="s">
        <v>115</v>
      </c>
      <c r="E39" s="2" t="s">
        <v>1273</v>
      </c>
      <c r="F39" s="6" t="n">
        <f aca="false">COUNTIFS(NLR_listings!$C:$C,"&gt;="&amp;B39,NLR_listings!$C:$C,"&lt;="&amp;C39,NLR_listings!$N:$N,1)</f>
        <v>1</v>
      </c>
      <c r="G39" s="3" t="n">
        <f aca="false">SUMIFS(NLR_listings!$G:$G,NLR_listings!$C:$C,"&gt;="&amp;B39,NLR_listings!$C:$C,"&lt;="&amp;C39,NLR_listings!$N:$N,1)</f>
        <v>444.408</v>
      </c>
      <c r="H39" s="6" t="n">
        <f aca="false">COUNTIFS(NLR_listings!$C:$C,"&gt;="&amp;B39,NLR_listings!$C:$C,"&lt;="&amp;C39)</f>
        <v>165</v>
      </c>
      <c r="I39" s="3" t="n">
        <f aca="false">SUMIFS(NLR_listings!$G:$G,NLR_listings!$C:$C,"&gt;="&amp;B39,NLR_listings!$C:$C,"&lt;="&amp;C39)</f>
        <v>508850.3364</v>
      </c>
      <c r="J39" s="9" t="n">
        <f aca="false">IF(I39=0,"",G39/I39)</f>
        <v>0.00087335699361837</v>
      </c>
    </row>
    <row r="40" customFormat="false" ht="15" hidden="false" customHeight="false" outlineLevel="0" collapsed="false">
      <c r="A40" s="6" t="str">
        <f aca="false">Windows!A6</f>
        <v>After 2025</v>
      </c>
      <c r="B40" s="8" t="n">
        <f aca="false">Windows!B6</f>
        <v>45917</v>
      </c>
      <c r="C40" s="8" t="n">
        <f aca="false">Windows!C6</f>
        <v>46280</v>
      </c>
      <c r="D40" s="2" t="s">
        <v>116</v>
      </c>
      <c r="E40" s="2" t="s">
        <v>1274</v>
      </c>
      <c r="F40" s="6" t="n">
        <f aca="false">COUNTIFS(NLR_listings!$C:$C,"&gt;="&amp;B40,NLR_listings!$C:$C,"&lt;="&amp;C40,NLR_listings!$O:$O,1)</f>
        <v>0</v>
      </c>
      <c r="G40" s="3" t="n">
        <f aca="false">SUMIFS(NLR_listings!$G:$G,NLR_listings!$C:$C,"&gt;="&amp;B40,NLR_listings!$C:$C,"&lt;="&amp;C40,NLR_listings!$O:$O,1)</f>
        <v>0</v>
      </c>
      <c r="H40" s="6" t="n">
        <f aca="false">COUNTIFS(NLR_listings!$C:$C,"&gt;="&amp;B40,NLR_listings!$C:$C,"&lt;="&amp;C40)</f>
        <v>165</v>
      </c>
      <c r="I40" s="3" t="n">
        <f aca="false">SUMIFS(NLR_listings!$G:$G,NLR_listings!$C:$C,"&gt;="&amp;B40,NLR_listings!$C:$C,"&lt;="&amp;C40)</f>
        <v>508850.3364</v>
      </c>
      <c r="J40" s="9" t="n">
        <f aca="false">IF(I40=0,"",G40/I40)</f>
        <v>0</v>
      </c>
    </row>
    <row r="41" customFormat="false" ht="15" hidden="false" customHeight="false" outlineLevel="0" collapsed="false">
      <c r="A41" s="6" t="str">
        <f aca="false">Windows!A6</f>
        <v>After 2025</v>
      </c>
      <c r="B41" s="8" t="n">
        <f aca="false">Windows!B6</f>
        <v>45917</v>
      </c>
      <c r="C41" s="8" t="n">
        <f aca="false">Windows!C6</f>
        <v>46280</v>
      </c>
      <c r="D41" s="2" t="s">
        <v>117</v>
      </c>
      <c r="E41" s="2" t="s">
        <v>1275</v>
      </c>
      <c r="F41" s="6" t="n">
        <f aca="false">COUNTIFS(NLR_listings!$C:$C,"&gt;="&amp;B41,NLR_listings!$C:$C,"&lt;="&amp;C41,NLR_listings!$P:$P,1)</f>
        <v>1</v>
      </c>
      <c r="G41" s="3" t="n">
        <f aca="false">SUMIFS(NLR_listings!$G:$G,NLR_listings!$C:$C,"&gt;="&amp;B41,NLR_listings!$C:$C,"&lt;="&amp;C41,NLR_listings!$P:$P,1)</f>
        <v>174.66</v>
      </c>
      <c r="H41" s="6" t="n">
        <f aca="false">COUNTIFS(NLR_listings!$C:$C,"&gt;="&amp;B41,NLR_listings!$C:$C,"&lt;="&amp;C41)</f>
        <v>165</v>
      </c>
      <c r="I41" s="3" t="n">
        <f aca="false">SUMIFS(NLR_listings!$G:$G,NLR_listings!$C:$C,"&gt;="&amp;B41,NLR_listings!$C:$C,"&lt;="&amp;C41)</f>
        <v>508850.3364</v>
      </c>
      <c r="J41" s="9" t="n">
        <f aca="false">IF(I41=0,"",G41/I41)</f>
        <v>0.000343244344173337</v>
      </c>
    </row>
    <row r="42" customFormat="false" ht="15" hidden="false" customHeight="false" outlineLevel="0" collapsed="false">
      <c r="A42" s="6" t="str">
        <f aca="false">Windows!A7</f>
        <v>After 2026</v>
      </c>
      <c r="B42" s="8" t="n">
        <f aca="false">Windows!B7</f>
        <v>46281</v>
      </c>
      <c r="C42" s="8" t="n">
        <f aca="false">Windows!C7</f>
        <v>46294</v>
      </c>
      <c r="D42" s="2" t="s">
        <v>1267</v>
      </c>
      <c r="E42" s="2" t="s">
        <v>1268</v>
      </c>
      <c r="F42" s="6" t="n">
        <f aca="false">COUNTIFS(NLR_listings!$C:$C,"&gt;="&amp;B42,NLR_listings!$C:$C,"&lt;="&amp;C42,NLR_listings!$H:$H,1)</f>
        <v>0</v>
      </c>
      <c r="G42" s="3" t="n">
        <f aca="false">SUMIFS(NLR_listings!$G:$G,NLR_listings!$C:$C,"&gt;="&amp;B42,NLR_listings!$C:$C,"&lt;="&amp;C42,NLR_listings!$H:$H,1)</f>
        <v>0</v>
      </c>
      <c r="H42" s="6" t="n">
        <f aca="false">COUNTIFS(NLR_listings!$C:$C,"&gt;="&amp;B42,NLR_listings!$C:$C,"&lt;="&amp;C42)</f>
        <v>6</v>
      </c>
      <c r="I42" s="3" t="n">
        <f aca="false">SUMIFS(NLR_listings!$G:$G,NLR_listings!$C:$C,"&gt;="&amp;B42,NLR_listings!$C:$C,"&lt;="&amp;C42)</f>
        <v>20708.6402</v>
      </c>
      <c r="J42" s="9" t="n">
        <f aca="false">IF(I42=0,"",G42/I42)</f>
        <v>0</v>
      </c>
    </row>
    <row r="43" customFormat="false" ht="15" hidden="false" customHeight="false" outlineLevel="0" collapsed="false">
      <c r="A43" s="6" t="str">
        <f aca="false">Windows!A7</f>
        <v>After 2026</v>
      </c>
      <c r="B43" s="8" t="n">
        <f aca="false">Windows!B7</f>
        <v>46281</v>
      </c>
      <c r="C43" s="8" t="n">
        <f aca="false">Windows!C7</f>
        <v>46294</v>
      </c>
      <c r="D43" s="2" t="s">
        <v>111</v>
      </c>
      <c r="E43" s="2" t="s">
        <v>1269</v>
      </c>
      <c r="F43" s="6" t="n">
        <f aca="false">COUNTIFS(NLR_listings!$C:$C,"&gt;="&amp;B43,NLR_listings!$C:$C,"&lt;="&amp;C43,NLR_listings!$J:$J,1)</f>
        <v>0</v>
      </c>
      <c r="G43" s="3" t="n">
        <f aca="false">SUMIFS(NLR_listings!$G:$G,NLR_listings!$C:$C,"&gt;="&amp;B43,NLR_listings!$C:$C,"&lt;="&amp;C43,NLR_listings!$J:$J,1)</f>
        <v>0</v>
      </c>
      <c r="H43" s="6" t="n">
        <f aca="false">COUNTIFS(NLR_listings!$C:$C,"&gt;="&amp;B43,NLR_listings!$C:$C,"&lt;="&amp;C43)</f>
        <v>6</v>
      </c>
      <c r="I43" s="3" t="n">
        <f aca="false">SUMIFS(NLR_listings!$G:$G,NLR_listings!$C:$C,"&gt;="&amp;B43,NLR_listings!$C:$C,"&lt;="&amp;C43)</f>
        <v>20708.6402</v>
      </c>
      <c r="J43" s="9" t="n">
        <f aca="false">IF(I43=0,"",G43/I43)</f>
        <v>0</v>
      </c>
    </row>
    <row r="44" customFormat="false" ht="15" hidden="false" customHeight="false" outlineLevel="0" collapsed="false">
      <c r="A44" s="6" t="str">
        <f aca="false">Windows!A7</f>
        <v>After 2026</v>
      </c>
      <c r="B44" s="8" t="n">
        <f aca="false">Windows!B7</f>
        <v>46281</v>
      </c>
      <c r="C44" s="8" t="n">
        <f aca="false">Windows!C7</f>
        <v>46294</v>
      </c>
      <c r="D44" s="2" t="s">
        <v>112</v>
      </c>
      <c r="E44" s="2" t="s">
        <v>1270</v>
      </c>
      <c r="F44" s="6" t="n">
        <f aca="false">COUNTIFS(NLR_listings!$C:$C,"&gt;="&amp;B44,NLR_listings!$C:$C,"&lt;="&amp;C44,NLR_listings!$K:$K,1)</f>
        <v>1</v>
      </c>
      <c r="G44" s="3" t="n">
        <f aca="false">SUMIFS(NLR_listings!$G:$G,NLR_listings!$C:$C,"&gt;="&amp;B44,NLR_listings!$C:$C,"&lt;="&amp;C44,NLR_listings!$K:$K,1)</f>
        <v>5177.936</v>
      </c>
      <c r="H44" s="6" t="n">
        <f aca="false">COUNTIFS(NLR_listings!$C:$C,"&gt;="&amp;B44,NLR_listings!$C:$C,"&lt;="&amp;C44)</f>
        <v>6</v>
      </c>
      <c r="I44" s="3" t="n">
        <f aca="false">SUMIFS(NLR_listings!$G:$G,NLR_listings!$C:$C,"&gt;="&amp;B44,NLR_listings!$C:$C,"&lt;="&amp;C44)</f>
        <v>20708.6402</v>
      </c>
      <c r="J44" s="9" t="n">
        <f aca="false">IF(I44=0,"",G44/I44)</f>
        <v>0.250037469867288</v>
      </c>
    </row>
    <row r="45" customFormat="false" ht="15" hidden="false" customHeight="false" outlineLevel="0" collapsed="false">
      <c r="A45" s="6" t="str">
        <f aca="false">Windows!A7</f>
        <v>After 2026</v>
      </c>
      <c r="B45" s="8" t="n">
        <f aca="false">Windows!B7</f>
        <v>46281</v>
      </c>
      <c r="C45" s="8" t="n">
        <f aca="false">Windows!C7</f>
        <v>46294</v>
      </c>
      <c r="D45" s="2" t="s">
        <v>113</v>
      </c>
      <c r="E45" s="2" t="s">
        <v>1271</v>
      </c>
      <c r="F45" s="6" t="n">
        <f aca="false">COUNTIFS(NLR_listings!$C:$C,"&gt;="&amp;B45,NLR_listings!$C:$C,"&lt;="&amp;C45,NLR_listings!$L:$L,1)</f>
        <v>0</v>
      </c>
      <c r="G45" s="3" t="n">
        <f aca="false">SUMIFS(NLR_listings!$G:$G,NLR_listings!$C:$C,"&gt;="&amp;B45,NLR_listings!$C:$C,"&lt;="&amp;C45,NLR_listings!$L:$L,1)</f>
        <v>0</v>
      </c>
      <c r="H45" s="6" t="n">
        <f aca="false">COUNTIFS(NLR_listings!$C:$C,"&gt;="&amp;B45,NLR_listings!$C:$C,"&lt;="&amp;C45)</f>
        <v>6</v>
      </c>
      <c r="I45" s="3" t="n">
        <f aca="false">SUMIFS(NLR_listings!$G:$G,NLR_listings!$C:$C,"&gt;="&amp;B45,NLR_listings!$C:$C,"&lt;="&amp;C45)</f>
        <v>20708.6402</v>
      </c>
      <c r="J45" s="9" t="n">
        <f aca="false">IF(I45=0,"",G45/I45)</f>
        <v>0</v>
      </c>
    </row>
    <row r="46" customFormat="false" ht="15" hidden="false" customHeight="false" outlineLevel="0" collapsed="false">
      <c r="A46" s="6" t="str">
        <f aca="false">Windows!A7</f>
        <v>After 2026</v>
      </c>
      <c r="B46" s="8" t="n">
        <f aca="false">Windows!B7</f>
        <v>46281</v>
      </c>
      <c r="C46" s="8" t="n">
        <f aca="false">Windows!C7</f>
        <v>46294</v>
      </c>
      <c r="D46" s="2" t="s">
        <v>114</v>
      </c>
      <c r="E46" s="2" t="s">
        <v>1272</v>
      </c>
      <c r="F46" s="6" t="n">
        <f aca="false">COUNTIFS(NLR_listings!$C:$C,"&gt;="&amp;B46,NLR_listings!$C:$C,"&lt;="&amp;C46,NLR_listings!$M:$M,1)</f>
        <v>0</v>
      </c>
      <c r="G46" s="3" t="n">
        <f aca="false">SUMIFS(NLR_listings!$G:$G,NLR_listings!$C:$C,"&gt;="&amp;B46,NLR_listings!$C:$C,"&lt;="&amp;C46,NLR_listings!$M:$M,1)</f>
        <v>0</v>
      </c>
      <c r="H46" s="6" t="n">
        <f aca="false">COUNTIFS(NLR_listings!$C:$C,"&gt;="&amp;B46,NLR_listings!$C:$C,"&lt;="&amp;C46)</f>
        <v>6</v>
      </c>
      <c r="I46" s="3" t="n">
        <f aca="false">SUMIFS(NLR_listings!$G:$G,NLR_listings!$C:$C,"&gt;="&amp;B46,NLR_listings!$C:$C,"&lt;="&amp;C46)</f>
        <v>20708.6402</v>
      </c>
      <c r="J46" s="9" t="n">
        <f aca="false">IF(I46=0,"",G46/I46)</f>
        <v>0</v>
      </c>
    </row>
    <row r="47" customFormat="false" ht="15" hidden="false" customHeight="false" outlineLevel="0" collapsed="false">
      <c r="A47" s="6" t="str">
        <f aca="false">Windows!A7</f>
        <v>After 2026</v>
      </c>
      <c r="B47" s="8" t="n">
        <f aca="false">Windows!B7</f>
        <v>46281</v>
      </c>
      <c r="C47" s="8" t="n">
        <f aca="false">Windows!C7</f>
        <v>46294</v>
      </c>
      <c r="D47" s="2" t="s">
        <v>115</v>
      </c>
      <c r="E47" s="2" t="s">
        <v>1273</v>
      </c>
      <c r="F47" s="6" t="n">
        <f aca="false">COUNTIFS(NLR_listings!$C:$C,"&gt;="&amp;B47,NLR_listings!$C:$C,"&lt;="&amp;C47,NLR_listings!$N:$N,1)</f>
        <v>0</v>
      </c>
      <c r="G47" s="3" t="n">
        <f aca="false">SUMIFS(NLR_listings!$G:$G,NLR_listings!$C:$C,"&gt;="&amp;B47,NLR_listings!$C:$C,"&lt;="&amp;C47,NLR_listings!$N:$N,1)</f>
        <v>0</v>
      </c>
      <c r="H47" s="6" t="n">
        <f aca="false">COUNTIFS(NLR_listings!$C:$C,"&gt;="&amp;B47,NLR_listings!$C:$C,"&lt;="&amp;C47)</f>
        <v>6</v>
      </c>
      <c r="I47" s="3" t="n">
        <f aca="false">SUMIFS(NLR_listings!$G:$G,NLR_listings!$C:$C,"&gt;="&amp;B47,NLR_listings!$C:$C,"&lt;="&amp;C47)</f>
        <v>20708.6402</v>
      </c>
      <c r="J47" s="9" t="n">
        <f aca="false">IF(I47=0,"",G47/I47)</f>
        <v>0</v>
      </c>
    </row>
    <row r="48" customFormat="false" ht="15" hidden="false" customHeight="false" outlineLevel="0" collapsed="false">
      <c r="A48" s="6" t="str">
        <f aca="false">Windows!A7</f>
        <v>After 2026</v>
      </c>
      <c r="B48" s="8" t="n">
        <f aca="false">Windows!B7</f>
        <v>46281</v>
      </c>
      <c r="C48" s="8" t="n">
        <f aca="false">Windows!C7</f>
        <v>46294</v>
      </c>
      <c r="D48" s="2" t="s">
        <v>116</v>
      </c>
      <c r="E48" s="2" t="s">
        <v>1274</v>
      </c>
      <c r="F48" s="6" t="n">
        <f aca="false">COUNTIFS(NLR_listings!$C:$C,"&gt;="&amp;B48,NLR_listings!$C:$C,"&lt;="&amp;C48,NLR_listings!$O:$O,1)</f>
        <v>0</v>
      </c>
      <c r="G48" s="3" t="n">
        <f aca="false">SUMIFS(NLR_listings!$G:$G,NLR_listings!$C:$C,"&gt;="&amp;B48,NLR_listings!$C:$C,"&lt;="&amp;C48,NLR_listings!$O:$O,1)</f>
        <v>0</v>
      </c>
      <c r="H48" s="6" t="n">
        <f aca="false">COUNTIFS(NLR_listings!$C:$C,"&gt;="&amp;B48,NLR_listings!$C:$C,"&lt;="&amp;C48)</f>
        <v>6</v>
      </c>
      <c r="I48" s="3" t="n">
        <f aca="false">SUMIFS(NLR_listings!$G:$G,NLR_listings!$C:$C,"&gt;="&amp;B48,NLR_listings!$C:$C,"&lt;="&amp;C48)</f>
        <v>20708.6402</v>
      </c>
      <c r="J48" s="9" t="n">
        <f aca="false">IF(I48=0,"",G48/I48)</f>
        <v>0</v>
      </c>
    </row>
    <row r="49" customFormat="false" ht="15" hidden="false" customHeight="false" outlineLevel="0" collapsed="false">
      <c r="A49" s="6" t="str">
        <f aca="false">Windows!A7</f>
        <v>After 2026</v>
      </c>
      <c r="B49" s="8" t="n">
        <f aca="false">Windows!B7</f>
        <v>46281</v>
      </c>
      <c r="C49" s="8" t="n">
        <f aca="false">Windows!C7</f>
        <v>46294</v>
      </c>
      <c r="D49" s="2" t="s">
        <v>117</v>
      </c>
      <c r="E49" s="2" t="s">
        <v>1275</v>
      </c>
      <c r="F49" s="6" t="n">
        <f aca="false">COUNTIFS(NLR_listings!$C:$C,"&gt;="&amp;B49,NLR_listings!$C:$C,"&lt;="&amp;C49,NLR_listings!$P:$P,1)</f>
        <v>0</v>
      </c>
      <c r="G49" s="3" t="n">
        <f aca="false">SUMIFS(NLR_listings!$G:$G,NLR_listings!$C:$C,"&gt;="&amp;B49,NLR_listings!$C:$C,"&lt;="&amp;C49,NLR_listings!$P:$P,1)</f>
        <v>0</v>
      </c>
      <c r="H49" s="6" t="n">
        <f aca="false">COUNTIFS(NLR_listings!$C:$C,"&gt;="&amp;B49,NLR_listings!$C:$C,"&lt;="&amp;C49)</f>
        <v>6</v>
      </c>
      <c r="I49" s="3" t="n">
        <f aca="false">SUMIFS(NLR_listings!$G:$G,NLR_listings!$C:$C,"&gt;="&amp;B49,NLR_listings!$C:$C,"&lt;="&amp;C49)</f>
        <v>20708.6402</v>
      </c>
      <c r="J49" s="9" t="n">
        <f aca="false">IF(I49=0,"",G49/I49)</f>
        <v>0</v>
      </c>
    </row>
    <row r="51" customFormat="false" ht="15" hidden="false" customHeight="false" outlineLevel="0" collapsed="false">
      <c r="A51" s="2" t="s">
        <v>1276</v>
      </c>
    </row>
    <row r="52" customFormat="false" ht="15" hidden="false" customHeight="false" outlineLevel="0" collapsed="false">
      <c r="A52" s="2" t="s">
        <v>1277</v>
      </c>
    </row>
  </sheetData>
  <autoFilter ref="A1:J4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9" min="2" style="0" width="16"/>
    <col collapsed="false" customWidth="true" hidden="false" outlineLevel="0" max="10" min="10" style="0" width="22"/>
    <col collapsed="false" customWidth="true" hidden="false" outlineLevel="0" max="11" min="11" style="0" width="20"/>
  </cols>
  <sheetData>
    <row r="1" customFormat="false" ht="31.5" hidden="false" customHeight="true" outlineLevel="0" collapsed="false">
      <c r="A1" s="1" t="s">
        <v>105</v>
      </c>
      <c r="B1" s="1" t="s">
        <v>1267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1278</v>
      </c>
      <c r="K1" s="1" t="s">
        <v>1279</v>
      </c>
    </row>
    <row r="2" customFormat="false" ht="15" hidden="false" customHeight="false" outlineLevel="0" collapsed="false">
      <c r="A2" s="2" t="n">
        <v>2021</v>
      </c>
      <c r="B2" s="10" t="n">
        <f aca="false">SUMIFS(NLR_listings!$G:$G,NLR_listings!$D:$D,$A2,NLR_listings!$H:$H,1)</f>
        <v>37806.074</v>
      </c>
      <c r="C2" s="10" t="n">
        <f aca="false">SUMIFS(NLR_listings!$G:$G,NLR_listings!$D:$D,$A2,NLR_listings!$J:$J,1)</f>
        <v>44185.9129</v>
      </c>
      <c r="D2" s="10" t="n">
        <f aca="false">SUMIFS(NLR_listings!$G:$G,NLR_listings!$D:$D,$A2,NLR_listings!$K:$K,1)</f>
        <v>0</v>
      </c>
      <c r="E2" s="10" t="n">
        <f aca="false">SUMIFS(NLR_listings!$G:$G,NLR_listings!$D:$D,$A2,NLR_listings!$L:$L,1)</f>
        <v>0</v>
      </c>
      <c r="F2" s="10" t="n">
        <f aca="false">SUMIFS(NLR_listings!$G:$G,NLR_listings!$D:$D,$A2,NLR_listings!$M:$M,1)</f>
        <v>0</v>
      </c>
      <c r="G2" s="10" t="n">
        <f aca="false">SUMIFS(NLR_listings!$G:$G,NLR_listings!$D:$D,$A2,NLR_listings!$N:$N,1)</f>
        <v>1121.0044</v>
      </c>
      <c r="H2" s="10" t="n">
        <f aca="false">SUMIFS(NLR_listings!$G:$G,NLR_listings!$D:$D,$A2,NLR_listings!$O:$O,1)</f>
        <v>0</v>
      </c>
      <c r="I2" s="10" t="n">
        <f aca="false">SUMIFS(NLR_listings!$G:$G,NLR_listings!$D:$D,$A2,NLR_listings!$P:$P,1)</f>
        <v>135</v>
      </c>
      <c r="J2" s="10" t="n">
        <f aca="false">SUMIFS(NLR_listings!$G:$G,NLR_listings!$D:$D,$A2)</f>
        <v>328734.6879</v>
      </c>
      <c r="K2" s="2" t="s">
        <v>1280</v>
      </c>
    </row>
    <row r="3" customFormat="false" ht="15" hidden="false" customHeight="false" outlineLevel="0" collapsed="false">
      <c r="A3" s="2" t="n">
        <v>2022</v>
      </c>
      <c r="B3" s="10" t="n">
        <f aca="false">SUMIFS(NLR_listings!$G:$G,NLR_listings!$D:$D,$A3,NLR_listings!$H:$H,1)</f>
        <v>3602.5691</v>
      </c>
      <c r="C3" s="10" t="n">
        <f aca="false">SUMIFS(NLR_listings!$G:$G,NLR_listings!$D:$D,$A3,NLR_listings!$J:$J,1)</f>
        <v>6992.717</v>
      </c>
      <c r="D3" s="10" t="n">
        <f aca="false">SUMIFS(NLR_listings!$G:$G,NLR_listings!$D:$D,$A3,NLR_listings!$K:$K,1)</f>
        <v>0</v>
      </c>
      <c r="E3" s="10" t="n">
        <f aca="false">SUMIFS(NLR_listings!$G:$G,NLR_listings!$D:$D,$A3,NLR_listings!$L:$L,1)</f>
        <v>0</v>
      </c>
      <c r="F3" s="10" t="n">
        <f aca="false">SUMIFS(NLR_listings!$G:$G,NLR_listings!$D:$D,$A3,NLR_listings!$M:$M,1)</f>
        <v>13458.0204</v>
      </c>
      <c r="G3" s="10" t="n">
        <f aca="false">SUMIFS(NLR_listings!$G:$G,NLR_listings!$D:$D,$A3,NLR_listings!$N:$N,1)</f>
        <v>420.1156</v>
      </c>
      <c r="H3" s="10" t="n">
        <f aca="false">SUMIFS(NLR_listings!$G:$G,NLR_listings!$D:$D,$A3,NLR_listings!$O:$O,1)</f>
        <v>0</v>
      </c>
      <c r="I3" s="10" t="n">
        <f aca="false">SUMIFS(NLR_listings!$G:$G,NLR_listings!$D:$D,$A3,NLR_listings!$P:$P,1)</f>
        <v>125</v>
      </c>
      <c r="J3" s="10" t="n">
        <f aca="false">SUMIFS(NLR_listings!$G:$G,NLR_listings!$D:$D,$A3)</f>
        <v>104622.3871</v>
      </c>
      <c r="K3" s="2" t="s">
        <v>1281</v>
      </c>
    </row>
    <row r="4" customFormat="false" ht="15" hidden="false" customHeight="false" outlineLevel="0" collapsed="false">
      <c r="A4" s="2" t="n">
        <v>2023</v>
      </c>
      <c r="B4" s="10" t="n">
        <f aca="false">SUMIFS(NLR_listings!$G:$G,NLR_listings!$D:$D,$A4,NLR_listings!$H:$H,1)</f>
        <v>3964.6276</v>
      </c>
      <c r="C4" s="10" t="n">
        <f aca="false">SUMIFS(NLR_listings!$G:$G,NLR_listings!$D:$D,$A4,NLR_listings!$J:$J,1)</f>
        <v>5473.0383</v>
      </c>
      <c r="D4" s="10" t="n">
        <f aca="false">SUMIFS(NLR_listings!$G:$G,NLR_listings!$D:$D,$A4,NLR_listings!$K:$K,1)</f>
        <v>1041.6735</v>
      </c>
      <c r="E4" s="10" t="n">
        <f aca="false">SUMIFS(NLR_listings!$G:$G,NLR_listings!$D:$D,$A4,NLR_listings!$L:$L,1)</f>
        <v>0</v>
      </c>
      <c r="F4" s="10" t="n">
        <f aca="false">SUMIFS(NLR_listings!$G:$G,NLR_listings!$D:$D,$A4,NLR_listings!$M:$M,1)</f>
        <v>3687.4479</v>
      </c>
      <c r="G4" s="10" t="n">
        <f aca="false">SUMIFS(NLR_listings!$G:$G,NLR_listings!$D:$D,$A4,NLR_listings!$N:$N,1)</f>
        <v>635.2744</v>
      </c>
      <c r="H4" s="10" t="n">
        <f aca="false">SUMIFS(NLR_listings!$G:$G,NLR_listings!$D:$D,$A4,NLR_listings!$O:$O,1)</f>
        <v>0</v>
      </c>
      <c r="I4" s="10" t="n">
        <f aca="false">SUMIFS(NLR_listings!$G:$G,NLR_listings!$D:$D,$A4,NLR_listings!$P:$P,1)</f>
        <v>1790.0169</v>
      </c>
      <c r="J4" s="10" t="n">
        <f aca="false">SUMIFS(NLR_listings!$G:$G,NLR_listings!$D:$D,$A4)</f>
        <v>46321.2305</v>
      </c>
      <c r="K4" s="2" t="s">
        <v>1282</v>
      </c>
    </row>
    <row r="5" customFormat="false" ht="15" hidden="false" customHeight="false" outlineLevel="0" collapsed="false">
      <c r="A5" s="2" t="n">
        <v>2024</v>
      </c>
      <c r="B5" s="10" t="n">
        <f aca="false">SUMIFS(NLR_listings!$G:$G,NLR_listings!$D:$D,$A5,NLR_listings!$H:$H,1)</f>
        <v>1512.324</v>
      </c>
      <c r="C5" s="10" t="n">
        <f aca="false">SUMIFS(NLR_listings!$G:$G,NLR_listings!$D:$D,$A5,NLR_listings!$J:$J,1)</f>
        <v>4787.5403</v>
      </c>
      <c r="D5" s="10" t="n">
        <f aca="false">SUMIFS(NLR_listings!$G:$G,NLR_listings!$D:$D,$A5,NLR_listings!$K:$K,1)</f>
        <v>7146.2939</v>
      </c>
      <c r="E5" s="10" t="n">
        <f aca="false">SUMIFS(NLR_listings!$G:$G,NLR_listings!$D:$D,$A5,NLR_listings!$L:$L,1)</f>
        <v>0</v>
      </c>
      <c r="F5" s="10" t="n">
        <f aca="false">SUMIFS(NLR_listings!$G:$G,NLR_listings!$D:$D,$A5,NLR_listings!$M:$M,1)</f>
        <v>390</v>
      </c>
      <c r="G5" s="10" t="n">
        <f aca="false">SUMIFS(NLR_listings!$G:$G,NLR_listings!$D:$D,$A5,NLR_listings!$N:$N,1)</f>
        <v>0</v>
      </c>
      <c r="H5" s="10" t="n">
        <f aca="false">SUMIFS(NLR_listings!$G:$G,NLR_listings!$D:$D,$A5,NLR_listings!$O:$O,1)</f>
        <v>1513.2012</v>
      </c>
      <c r="I5" s="10" t="n">
        <f aca="false">SUMIFS(NLR_listings!$G:$G,NLR_listings!$D:$D,$A5,NLR_listings!$P:$P,1)</f>
        <v>317.375</v>
      </c>
      <c r="J5" s="10" t="n">
        <f aca="false">SUMIFS(NLR_listings!$G:$G,NLR_listings!$D:$D,$A5)</f>
        <v>87739.961</v>
      </c>
      <c r="K5" s="2" t="s">
        <v>1283</v>
      </c>
    </row>
    <row r="6" customFormat="false" ht="15" hidden="false" customHeight="false" outlineLevel="0" collapsed="false">
      <c r="A6" s="2" t="n">
        <v>2025</v>
      </c>
      <c r="B6" s="10" t="n">
        <f aca="false">SUMIFS(NLR_listings!$G:$G,NLR_listings!$D:$D,$A6,NLR_listings!$H:$H,1)</f>
        <v>13771.3515</v>
      </c>
      <c r="C6" s="10" t="n">
        <f aca="false">SUMIFS(NLR_listings!$G:$G,NLR_listings!$D:$D,$A6,NLR_listings!$J:$J,1)</f>
        <v>31146.0416</v>
      </c>
      <c r="D6" s="10" t="n">
        <f aca="false">SUMIFS(NLR_listings!$G:$G,NLR_listings!$D:$D,$A6,NLR_listings!$K:$K,1)</f>
        <v>8087.5477</v>
      </c>
      <c r="E6" s="10" t="n">
        <f aca="false">SUMIFS(NLR_listings!$G:$G,NLR_listings!$D:$D,$A6,NLR_listings!$L:$L,1)</f>
        <v>4075.109</v>
      </c>
      <c r="F6" s="10" t="n">
        <f aca="false">SUMIFS(NLR_listings!$G:$G,NLR_listings!$D:$D,$A6,NLR_listings!$M:$M,1)</f>
        <v>2410.0264</v>
      </c>
      <c r="G6" s="10" t="n">
        <f aca="false">SUMIFS(NLR_listings!$G:$G,NLR_listings!$D:$D,$A6,NLR_listings!$N:$N,1)</f>
        <v>0</v>
      </c>
      <c r="H6" s="10" t="n">
        <f aca="false">SUMIFS(NLR_listings!$G:$G,NLR_listings!$D:$D,$A6,NLR_listings!$O:$O,1)</f>
        <v>0</v>
      </c>
      <c r="I6" s="10" t="n">
        <f aca="false">SUMIFS(NLR_listings!$G:$G,NLR_listings!$D:$D,$A6,NLR_listings!$P:$P,1)</f>
        <v>174.66</v>
      </c>
      <c r="J6" s="10" t="n">
        <f aca="false">SUMIFS(NLR_listings!$G:$G,NLR_listings!$D:$D,$A6)</f>
        <v>286836.0799</v>
      </c>
      <c r="K6" s="2" t="s">
        <v>1284</v>
      </c>
    </row>
    <row r="7" customFormat="false" ht="15" hidden="false" customHeight="false" outlineLevel="0" collapsed="false">
      <c r="A7" s="2" t="n">
        <v>2026</v>
      </c>
      <c r="B7" s="10" t="n">
        <f aca="false">SUMIFS(NLR_listings!$G:$G,NLR_listings!$D:$D,$A7,NLR_listings!$H:$H,1)</f>
        <v>12883.0297</v>
      </c>
      <c r="C7" s="10" t="n">
        <f aca="false">SUMIFS(NLR_listings!$G:$G,NLR_listings!$D:$D,$A7,NLR_listings!$J:$J,1)</f>
        <v>19101.272</v>
      </c>
      <c r="D7" s="10" t="n">
        <f aca="false">SUMIFS(NLR_listings!$G:$G,NLR_listings!$D:$D,$A7,NLR_listings!$K:$K,1)</f>
        <v>12249.966</v>
      </c>
      <c r="E7" s="10" t="n">
        <f aca="false">SUMIFS(NLR_listings!$G:$G,NLR_listings!$D:$D,$A7,NLR_listings!$L:$L,1)</f>
        <v>35908.3333</v>
      </c>
      <c r="F7" s="10" t="n">
        <f aca="false">SUMIFS(NLR_listings!$G:$G,NLR_listings!$D:$D,$A7,NLR_listings!$M:$M,1)</f>
        <v>5060.7296</v>
      </c>
      <c r="G7" s="10" t="n">
        <f aca="false">SUMIFS(NLR_listings!$G:$G,NLR_listings!$D:$D,$A7,NLR_listings!$N:$N,1)</f>
        <v>444.408</v>
      </c>
      <c r="H7" s="10" t="n">
        <f aca="false">SUMIFS(NLR_listings!$G:$G,NLR_listings!$D:$D,$A7,NLR_listings!$O:$O,1)</f>
        <v>0</v>
      </c>
      <c r="I7" s="10" t="n">
        <f aca="false">SUMIFS(NLR_listings!$G:$G,NLR_listings!$D:$D,$A7,NLR_listings!$P:$P,1)</f>
        <v>0</v>
      </c>
      <c r="J7" s="10" t="n">
        <f aca="false">SUMIFS(NLR_listings!$G:$G,NLR_listings!$D:$D,$A7)</f>
        <v>387184.5675</v>
      </c>
      <c r="K7" s="2" t="s">
        <v>1285</v>
      </c>
    </row>
    <row r="9" customFormat="false" ht="15" hidden="false" customHeight="false" outlineLevel="0" collapsed="false">
      <c r="A9" s="0" t="s">
        <v>1286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1" t="s">
        <v>102</v>
      </c>
      <c r="B1" s="1" t="s">
        <v>103</v>
      </c>
      <c r="C1" s="1" t="s">
        <v>104</v>
      </c>
      <c r="D1" s="1" t="s">
        <v>1249</v>
      </c>
      <c r="E1" s="1" t="s">
        <v>1287</v>
      </c>
      <c r="F1" s="1" t="s">
        <v>108</v>
      </c>
      <c r="G1" s="1" t="s">
        <v>1288</v>
      </c>
    </row>
    <row r="2" customFormat="false" ht="15" hidden="false" customHeight="false" outlineLevel="0" collapsed="false">
      <c r="A2" s="2" t="s">
        <v>829</v>
      </c>
      <c r="B2" s="2" t="s">
        <v>830</v>
      </c>
      <c r="C2" s="5" t="n">
        <v>45797</v>
      </c>
      <c r="D2" s="2" t="s">
        <v>1257</v>
      </c>
      <c r="E2" s="2" t="s">
        <v>114</v>
      </c>
      <c r="F2" s="3" t="n">
        <f aca="false">SUMIFS(NLR_listings!$G:$G,NLR_listings!$A:$A,A2)</f>
        <v>41005.7239</v>
      </c>
      <c r="G2" s="2" t="s">
        <v>1289</v>
      </c>
    </row>
    <row r="3" customFormat="false" ht="15" hidden="false" customHeight="false" outlineLevel="0" collapsed="false">
      <c r="A3" s="2" t="s">
        <v>1018</v>
      </c>
      <c r="B3" s="2" t="s">
        <v>1019</v>
      </c>
      <c r="C3" s="5" t="n">
        <v>46024</v>
      </c>
      <c r="D3" s="2" t="s">
        <v>1258</v>
      </c>
      <c r="E3" s="2" t="s">
        <v>113</v>
      </c>
      <c r="F3" s="3" t="n">
        <f aca="false">SUMIFS(NLR_listings!$G:$G,NLR_listings!$A:$A,A3)</f>
        <v>6420.4387</v>
      </c>
      <c r="G3" s="2" t="s">
        <v>1290</v>
      </c>
    </row>
    <row r="4" customFormat="false" ht="15" hidden="false" customHeight="false" outlineLevel="0" collapsed="false">
      <c r="A4" s="2" t="s">
        <v>777</v>
      </c>
      <c r="B4" s="2" t="s">
        <v>778</v>
      </c>
      <c r="C4" s="5" t="n">
        <v>45656</v>
      </c>
      <c r="D4" s="2" t="s">
        <v>1257</v>
      </c>
      <c r="E4" s="2" t="s">
        <v>113</v>
      </c>
      <c r="F4" s="3" t="n">
        <f aca="false">SUMIFS(NLR_listings!$G:$G,NLR_listings!$A:$A,A4)</f>
        <v>1451.2964</v>
      </c>
      <c r="G4" s="2" t="s">
        <v>1291</v>
      </c>
    </row>
    <row r="5" customFormat="false" ht="15" hidden="false" customHeight="false" outlineLevel="0" collapsed="false">
      <c r="A5" s="2" t="s">
        <v>723</v>
      </c>
      <c r="B5" s="2" t="s">
        <v>724</v>
      </c>
      <c r="C5" s="5" t="n">
        <v>45512</v>
      </c>
      <c r="D5" s="2" t="s">
        <v>1256</v>
      </c>
      <c r="E5" s="2" t="s">
        <v>113</v>
      </c>
      <c r="F5" s="3" t="n">
        <f aca="false">SUMIFS(NLR_listings!$G:$G,NLR_listings!$A:$A,A5)</f>
        <v>1036</v>
      </c>
      <c r="G5" s="2" t="s">
        <v>1292</v>
      </c>
    </row>
    <row r="6" customFormat="false" ht="15" hidden="false" customHeight="false" outlineLevel="0" collapsed="false">
      <c r="A6" s="2" t="s">
        <v>1027</v>
      </c>
      <c r="B6" s="2" t="s">
        <v>1028</v>
      </c>
      <c r="C6" s="5" t="n">
        <v>46031</v>
      </c>
      <c r="D6" s="2" t="s">
        <v>1258</v>
      </c>
      <c r="E6" s="2" t="s">
        <v>112</v>
      </c>
      <c r="F6" s="3" t="n">
        <f aca="false">SUMIFS(NLR_listings!$G:$G,NLR_listings!$A:$A,A6)</f>
        <v>5540.2446</v>
      </c>
      <c r="G6" s="2" t="s">
        <v>1293</v>
      </c>
    </row>
    <row r="7" customFormat="false" ht="15" hidden="false" customHeight="false" outlineLevel="0" collapsed="false">
      <c r="A7" s="2" t="s">
        <v>1021</v>
      </c>
      <c r="B7" s="2" t="s">
        <v>1022</v>
      </c>
      <c r="C7" s="5" t="n">
        <v>46030</v>
      </c>
      <c r="D7" s="2" t="s">
        <v>1258</v>
      </c>
      <c r="E7" s="2" t="s">
        <v>112</v>
      </c>
      <c r="F7" s="3" t="n">
        <f aca="false">SUMIFS(NLR_listings!$G:$G,NLR_listings!$A:$A,A7)</f>
        <v>5000.3649</v>
      </c>
      <c r="G7" s="2" t="s">
        <v>1294</v>
      </c>
    </row>
    <row r="8" customFormat="false" ht="15" hidden="false" customHeight="false" outlineLevel="0" collapsed="false">
      <c r="A8" s="2" t="s">
        <v>955</v>
      </c>
      <c r="B8" s="2" t="s">
        <v>956</v>
      </c>
      <c r="C8" s="5" t="n">
        <v>45967</v>
      </c>
      <c r="D8" s="2" t="s">
        <v>1258</v>
      </c>
      <c r="E8" s="2" t="s">
        <v>112</v>
      </c>
      <c r="F8" s="3" t="n">
        <f aca="false">SUMIFS(NLR_listings!$G:$G,NLR_listings!$A:$A,A8)</f>
        <v>2391.575</v>
      </c>
      <c r="G8" s="2" t="s">
        <v>1295</v>
      </c>
    </row>
    <row r="9" customFormat="false" ht="15" hidden="false" customHeight="false" outlineLevel="0" collapsed="false">
      <c r="A9" s="2" t="s">
        <v>905</v>
      </c>
      <c r="B9" s="2" t="s">
        <v>906</v>
      </c>
      <c r="C9" s="5" t="n">
        <v>45916</v>
      </c>
      <c r="D9" s="2" t="s">
        <v>1257</v>
      </c>
      <c r="E9" s="2" t="s">
        <v>112</v>
      </c>
      <c r="F9" s="3" t="n">
        <f aca="false">SUMIFS(NLR_listings!$G:$G,NLR_listings!$A:$A,A9)</f>
        <v>4784.276</v>
      </c>
      <c r="G9" s="2" t="s">
        <v>1296</v>
      </c>
    </row>
    <row r="11" customFormat="false" ht="15" hidden="false" customHeight="false" outlineLevel="0" collapsed="false">
      <c r="A11" s="2" t="s">
        <v>1297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50"/>
    <col collapsed="false" customWidth="true" hidden="false" outlineLevel="0" max="3" min="3" style="0" width="70"/>
  </cols>
  <sheetData>
    <row r="1" customFormat="false" ht="31.5" hidden="false" customHeight="true" outlineLevel="0" collapsed="false">
      <c r="A1" s="1" t="s">
        <v>1298</v>
      </c>
      <c r="B1" s="1" t="s">
        <v>1299</v>
      </c>
      <c r="C1" s="1" t="s">
        <v>1300</v>
      </c>
    </row>
    <row r="2" customFormat="false" ht="15" hidden="false" customHeight="false" outlineLevel="0" collapsed="false">
      <c r="A2" s="4" t="s">
        <v>1301</v>
      </c>
      <c r="B2" s="4" t="s">
        <v>1302</v>
      </c>
      <c r="C2" s="4" t="s">
        <v>1303</v>
      </c>
    </row>
    <row r="3" customFormat="false" ht="15" hidden="false" customHeight="false" outlineLevel="0" collapsed="false">
      <c r="A3" s="4" t="s">
        <v>1301</v>
      </c>
      <c r="B3" s="4" t="s">
        <v>1304</v>
      </c>
      <c r="C3" s="4" t="s">
        <v>1305</v>
      </c>
    </row>
    <row r="4" customFormat="false" ht="15" hidden="false" customHeight="false" outlineLevel="0" collapsed="false">
      <c r="A4" s="4" t="s">
        <v>1306</v>
      </c>
      <c r="B4" s="4" t="s">
        <v>1307</v>
      </c>
      <c r="C4" s="4" t="s">
        <v>1308</v>
      </c>
    </row>
    <row r="5" customFormat="false" ht="15" hidden="false" customHeight="false" outlineLevel="0" collapsed="false">
      <c r="A5" s="4" t="s">
        <v>1306</v>
      </c>
      <c r="B5" s="4" t="s">
        <v>1309</v>
      </c>
      <c r="C5" s="4" t="s">
        <v>1310</v>
      </c>
    </row>
    <row r="6" customFormat="false" ht="15" hidden="false" customHeight="false" outlineLevel="0" collapsed="false">
      <c r="A6" s="4" t="s">
        <v>1311</v>
      </c>
      <c r="B6" s="4" t="s">
        <v>1312</v>
      </c>
      <c r="C6" s="4" t="s">
        <v>1313</v>
      </c>
    </row>
    <row r="7" customFormat="false" ht="15" hidden="false" customHeight="false" outlineLevel="0" collapsed="false">
      <c r="A7" s="4" t="s">
        <v>1311</v>
      </c>
      <c r="B7" s="4" t="s">
        <v>1314</v>
      </c>
      <c r="C7" s="4" t="s">
        <v>1315</v>
      </c>
    </row>
    <row r="8" customFormat="false" ht="15" hidden="false" customHeight="false" outlineLevel="0" collapsed="false">
      <c r="A8" s="4" t="s">
        <v>1311</v>
      </c>
      <c r="B8" s="4" t="s">
        <v>1316</v>
      </c>
      <c r="C8" s="4" t="s">
        <v>1317</v>
      </c>
    </row>
    <row r="9" customFormat="false" ht="15" hidden="false" customHeight="false" outlineLevel="0" collapsed="false">
      <c r="A9" s="4" t="s">
        <v>1318</v>
      </c>
      <c r="B9" s="4" t="s">
        <v>1319</v>
      </c>
      <c r="C9" s="4" t="s">
        <v>1320</v>
      </c>
    </row>
    <row r="10" customFormat="false" ht="15" hidden="false" customHeight="false" outlineLevel="0" collapsed="false">
      <c r="A10" s="4" t="s">
        <v>1318</v>
      </c>
      <c r="B10" s="4" t="s">
        <v>1321</v>
      </c>
      <c r="C10" s="4" t="s">
        <v>1322</v>
      </c>
    </row>
    <row r="11" customFormat="false" ht="15" hidden="false" customHeight="false" outlineLevel="0" collapsed="false">
      <c r="A11" s="4" t="s">
        <v>1318</v>
      </c>
      <c r="B11" s="4" t="s">
        <v>1323</v>
      </c>
      <c r="C11" s="4" t="s">
        <v>1324</v>
      </c>
    </row>
    <row r="12" customFormat="false" ht="15" hidden="false" customHeight="false" outlineLevel="0" collapsed="false">
      <c r="A12" s="4" t="s">
        <v>1318</v>
      </c>
      <c r="B12" s="4" t="s">
        <v>1325</v>
      </c>
      <c r="C12" s="4" t="s">
        <v>1326</v>
      </c>
    </row>
    <row r="13" customFormat="false" ht="15" hidden="false" customHeight="false" outlineLevel="0" collapsed="false">
      <c r="A13" s="4" t="s">
        <v>1327</v>
      </c>
      <c r="B13" s="4" t="s">
        <v>1328</v>
      </c>
      <c r="C13" s="4" t="s">
        <v>1329</v>
      </c>
    </row>
    <row r="14" customFormat="false" ht="26.85" hidden="false" customHeight="false" outlineLevel="0" collapsed="false">
      <c r="A14" s="4" t="s">
        <v>1327</v>
      </c>
      <c r="B14" s="4" t="s">
        <v>1330</v>
      </c>
      <c r="C14" s="4" t="s">
        <v>1331</v>
      </c>
    </row>
    <row r="15" customFormat="false" ht="15" hidden="false" customHeight="false" outlineLevel="0" collapsed="false">
      <c r="A15" s="4" t="s">
        <v>1327</v>
      </c>
      <c r="B15" s="4" t="s">
        <v>1332</v>
      </c>
      <c r="C15" s="4" t="s">
        <v>1333</v>
      </c>
    </row>
    <row r="16" customFormat="false" ht="15" hidden="false" customHeight="false" outlineLevel="0" collapsed="false">
      <c r="A16" s="4" t="s">
        <v>1334</v>
      </c>
      <c r="B16" s="4" t="s">
        <v>1328</v>
      </c>
      <c r="C16" s="4" t="s">
        <v>1335</v>
      </c>
    </row>
    <row r="17" customFormat="false" ht="15" hidden="false" customHeight="false" outlineLevel="0" collapsed="false">
      <c r="A17" s="4" t="s">
        <v>1334</v>
      </c>
      <c r="B17" s="4" t="s">
        <v>1330</v>
      </c>
      <c r="C17" s="4" t="s">
        <v>1336</v>
      </c>
    </row>
    <row r="18" customFormat="false" ht="15" hidden="false" customHeight="false" outlineLevel="0" collapsed="false">
      <c r="A18" s="4" t="s">
        <v>1334</v>
      </c>
      <c r="B18" s="4" t="s">
        <v>1337</v>
      </c>
      <c r="C18" s="4" t="s">
        <v>1338</v>
      </c>
    </row>
    <row r="19" customFormat="false" ht="26.85" hidden="false" customHeight="false" outlineLevel="0" collapsed="false">
      <c r="A19" s="4" t="s">
        <v>1339</v>
      </c>
      <c r="B19" s="4" t="s">
        <v>1328</v>
      </c>
      <c r="C19" s="4" t="s">
        <v>1340</v>
      </c>
    </row>
    <row r="20" customFormat="false" ht="26.85" hidden="false" customHeight="false" outlineLevel="0" collapsed="false">
      <c r="A20" s="4" t="s">
        <v>1341</v>
      </c>
      <c r="B20" s="4" t="s">
        <v>1314</v>
      </c>
      <c r="C20" s="4" t="s">
        <v>1342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55"/>
  </cols>
  <sheetData>
    <row r="1" customFormat="false" ht="21.75" hidden="false" customHeight="true" outlineLevel="0" collapsed="false">
      <c r="A1" s="1" t="s">
        <v>103</v>
      </c>
      <c r="B1" s="1" t="s">
        <v>1343</v>
      </c>
      <c r="C1" s="1" t="s">
        <v>0</v>
      </c>
      <c r="D1" s="1" t="s">
        <v>108</v>
      </c>
      <c r="E1" s="1" t="s">
        <v>6</v>
      </c>
    </row>
    <row r="2" customFormat="false" ht="15" hidden="false" customHeight="false" outlineLevel="0" collapsed="false">
      <c r="A2" s="2" t="s">
        <v>1344</v>
      </c>
      <c r="B2" s="2" t="s">
        <v>1345</v>
      </c>
      <c r="C2" s="2" t="n">
        <v>2024</v>
      </c>
      <c r="D2" s="11" t="n">
        <v>1036</v>
      </c>
      <c r="E2" s="2" t="s">
        <v>1346</v>
      </c>
    </row>
    <row r="3" customFormat="false" ht="15" hidden="false" customHeight="false" outlineLevel="0" collapsed="false">
      <c r="A3" s="2" t="s">
        <v>1347</v>
      </c>
      <c r="B3" s="2" t="s">
        <v>1348</v>
      </c>
      <c r="C3" s="2" t="n">
        <v>2024</v>
      </c>
      <c r="D3" s="11" t="n">
        <v>1036</v>
      </c>
      <c r="E3" s="2" t="s">
        <v>1346</v>
      </c>
    </row>
    <row r="4" customFormat="false" ht="15" hidden="false" customHeight="false" outlineLevel="0" collapsed="false">
      <c r="A4" s="2" t="s">
        <v>1349</v>
      </c>
      <c r="B4" s="2" t="s">
        <v>1350</v>
      </c>
      <c r="C4" s="2" t="n">
        <v>2024</v>
      </c>
      <c r="D4" s="11" t="n">
        <v>831</v>
      </c>
      <c r="E4" s="2" t="s">
        <v>1346</v>
      </c>
    </row>
    <row r="5" customFormat="false" ht="15" hidden="false" customHeight="false" outlineLevel="0" collapsed="false">
      <c r="A5" s="2" t="s">
        <v>1351</v>
      </c>
      <c r="B5" s="2" t="s">
        <v>1352</v>
      </c>
      <c r="C5" s="2" t="n">
        <v>2025</v>
      </c>
      <c r="D5" s="11" t="n">
        <v>759</v>
      </c>
      <c r="E5" s="2" t="s">
        <v>1346</v>
      </c>
    </row>
    <row r="6" customFormat="false" ht="15" hidden="false" customHeight="false" outlineLevel="0" collapsed="false">
      <c r="A6" s="2" t="s">
        <v>1353</v>
      </c>
      <c r="B6" s="2" t="s">
        <v>1354</v>
      </c>
      <c r="C6" s="2" t="n">
        <v>2025</v>
      </c>
      <c r="D6" s="11" t="n">
        <v>710</v>
      </c>
      <c r="E6" s="2" t="s">
        <v>1346</v>
      </c>
    </row>
    <row r="7" customFormat="false" ht="15" hidden="false" customHeight="false" outlineLevel="0" collapsed="false">
      <c r="A7" s="2" t="s">
        <v>1355</v>
      </c>
      <c r="B7" s="2" t="s">
        <v>1356</v>
      </c>
      <c r="C7" s="2" t="n">
        <v>2025</v>
      </c>
      <c r="D7" s="11" t="n">
        <v>2392</v>
      </c>
      <c r="E7" s="2" t="s">
        <v>1346</v>
      </c>
    </row>
    <row r="8" customFormat="false" ht="15" hidden="false" customHeight="false" outlineLevel="0" collapsed="false">
      <c r="A8" s="2" t="s">
        <v>1357</v>
      </c>
      <c r="B8" s="2" t="s">
        <v>1358</v>
      </c>
      <c r="C8" s="2" t="n">
        <v>2025</v>
      </c>
      <c r="D8" s="11" t="n">
        <v>1422</v>
      </c>
      <c r="E8" s="2" t="s">
        <v>1346</v>
      </c>
    </row>
    <row r="9" customFormat="false" ht="15" hidden="false" customHeight="false" outlineLevel="0" collapsed="false">
      <c r="A9" s="2" t="s">
        <v>1359</v>
      </c>
      <c r="B9" s="2" t="s">
        <v>1360</v>
      </c>
      <c r="C9" s="2" t="n">
        <v>2025</v>
      </c>
      <c r="D9" s="11" t="n">
        <v>731</v>
      </c>
      <c r="E9" s="2" t="s">
        <v>1346</v>
      </c>
    </row>
    <row r="10" customFormat="false" ht="15" hidden="false" customHeight="false" outlineLevel="0" collapsed="false">
      <c r="A10" s="2" t="s">
        <v>1361</v>
      </c>
      <c r="B10" s="2" t="s">
        <v>1362</v>
      </c>
      <c r="C10" s="2" t="n">
        <v>2026</v>
      </c>
      <c r="D10" s="11" t="n">
        <v>6420</v>
      </c>
      <c r="E10" s="2" t="s">
        <v>1346</v>
      </c>
    </row>
    <row r="11" customFormat="false" ht="15" hidden="false" customHeight="false" outlineLevel="0" collapsed="false">
      <c r="A11" s="2" t="s">
        <v>1363</v>
      </c>
      <c r="B11" s="2" t="s">
        <v>1364</v>
      </c>
      <c r="C11" s="2" t="n">
        <v>2026</v>
      </c>
      <c r="D11" s="11" t="n">
        <v>5000</v>
      </c>
      <c r="E11" s="2" t="s">
        <v>1346</v>
      </c>
    </row>
    <row r="12" customFormat="false" ht="15" hidden="false" customHeight="false" outlineLevel="0" collapsed="false">
      <c r="A12" s="2" t="s">
        <v>1365</v>
      </c>
      <c r="B12" s="2" t="s">
        <v>1366</v>
      </c>
      <c r="C12" s="2" t="n">
        <v>2026</v>
      </c>
      <c r="D12" s="11" t="n">
        <v>5540</v>
      </c>
      <c r="E12" s="2" t="s">
        <v>1346</v>
      </c>
    </row>
    <row r="13" customFormat="false" ht="15" hidden="false" customHeight="false" outlineLevel="0" collapsed="false">
      <c r="A13" s="2" t="s">
        <v>1367</v>
      </c>
      <c r="B13" s="2" t="s">
        <v>1368</v>
      </c>
      <c r="C13" s="2" t="n">
        <v>2026</v>
      </c>
      <c r="D13" s="11" t="n">
        <v>1579</v>
      </c>
      <c r="E13" s="2" t="s">
        <v>1346</v>
      </c>
    </row>
    <row r="14" customFormat="false" ht="15" hidden="false" customHeight="false" outlineLevel="0" collapsed="false">
      <c r="A14" s="2" t="s">
        <v>1369</v>
      </c>
      <c r="B14" s="2" t="s">
        <v>1368</v>
      </c>
      <c r="C14" s="2" t="n">
        <v>2026</v>
      </c>
      <c r="D14" s="11" t="n">
        <v>499</v>
      </c>
      <c r="E14" s="2" t="s">
        <v>1346</v>
      </c>
    </row>
    <row r="15" customFormat="false" ht="15" hidden="false" customHeight="false" outlineLevel="0" collapsed="false">
      <c r="A15" s="2" t="s">
        <v>1370</v>
      </c>
      <c r="B15" s="2" t="s">
        <v>1371</v>
      </c>
      <c r="C15" s="2" t="n">
        <v>2026</v>
      </c>
      <c r="D15" s="11" t="n">
        <v>480</v>
      </c>
      <c r="E15" s="2" t="s">
        <v>1346</v>
      </c>
    </row>
    <row r="17" customFormat="false" ht="15" hidden="false" customHeight="false" outlineLevel="0" collapsed="false">
      <c r="A17" s="2" t="s">
        <v>1372</v>
      </c>
      <c r="B17" s="2" t="n">
        <v>28.4</v>
      </c>
    </row>
    <row r="18" customFormat="false" ht="15" hidden="false" customHeight="false" outlineLevel="0" collapsed="false">
      <c r="A18" s="6" t="s">
        <v>1373</v>
      </c>
      <c r="B18" s="10" t="n">
        <f aca="false">SUM(D2:D15)</f>
        <v>28435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31.5" hidden="false" customHeight="true" outlineLevel="0" collapsed="false">
      <c r="A1" s="1" t="s">
        <v>0</v>
      </c>
      <c r="B1" s="1" t="s">
        <v>1374</v>
      </c>
      <c r="C1" s="1" t="s">
        <v>1375</v>
      </c>
      <c r="D1" s="1" t="s">
        <v>1376</v>
      </c>
      <c r="E1" s="1" t="s">
        <v>1377</v>
      </c>
      <c r="F1" s="1" t="s">
        <v>1378</v>
      </c>
      <c r="G1" s="1" t="s">
        <v>1379</v>
      </c>
      <c r="H1" s="1" t="s">
        <v>1380</v>
      </c>
      <c r="I1" s="1" t="s">
        <v>7</v>
      </c>
    </row>
    <row r="2" customFormat="false" ht="26.85" hidden="false" customHeight="false" outlineLevel="0" collapsed="false">
      <c r="A2" s="2" t="n">
        <v>2022</v>
      </c>
      <c r="B2" s="6" t="n">
        <f aca="false">COUNTIF(C18_listings!C:C,A2)</f>
        <v>0</v>
      </c>
      <c r="C2" s="10" t="n">
        <f aca="false">SUMIF(C18_listings!C:C,A2,C18_listings!D:D)</f>
        <v>0</v>
      </c>
      <c r="D2" s="12" t="n">
        <v>0.0475</v>
      </c>
      <c r="E2" s="2" t="n">
        <v>31.7</v>
      </c>
      <c r="F2" s="7" t="n">
        <v>104570.3</v>
      </c>
      <c r="G2" s="9" t="n">
        <f aca="false">IF(F2="", "", C2/F2)</f>
        <v>0</v>
      </c>
      <c r="H2" s="6" t="n">
        <f aca="false">SUMIFS(NLR_listings!$H:$H,NLR_listings!$D:$D,A2)</f>
        <v>8</v>
      </c>
      <c r="I2" s="4" t="s">
        <v>1381</v>
      </c>
    </row>
    <row r="3" customFormat="false" ht="26.85" hidden="false" customHeight="false" outlineLevel="0" collapsed="false">
      <c r="A3" s="2" t="n">
        <v>2023</v>
      </c>
      <c r="B3" s="6" t="n">
        <f aca="false">COUNTIF(C18_listings!C:C,A3)</f>
        <v>0</v>
      </c>
      <c r="C3" s="10" t="n">
        <f aca="false">SUMIF(C18_listings!C:C,A3,C18_listings!D:D)</f>
        <v>0</v>
      </c>
      <c r="D3" s="12" t="n">
        <v>0.0575</v>
      </c>
      <c r="E3" s="2" t="n">
        <v>31.1</v>
      </c>
      <c r="F3" s="7" t="n">
        <v>46294.9</v>
      </c>
      <c r="G3" s="9" t="n">
        <f aca="false">IF(F3="", "", C3/F3)</f>
        <v>0</v>
      </c>
      <c r="H3" s="6" t="n">
        <f aca="false">SUMIFS(NLR_listings!$H:$H,NLR_listings!$D:$D,A3)</f>
        <v>7</v>
      </c>
      <c r="I3" s="4" t="s">
        <v>1382</v>
      </c>
    </row>
    <row r="4" customFormat="false" ht="26.85" hidden="false" customHeight="false" outlineLevel="0" collapsed="false">
      <c r="A4" s="2" t="n">
        <v>2024</v>
      </c>
      <c r="B4" s="6" t="n">
        <f aca="false">COUNTIF(C18_listings!C:C,A4)</f>
        <v>3</v>
      </c>
      <c r="C4" s="10" t="n">
        <f aca="false">SUMIF(C18_listings!C:C,A4,C18_listings!D:D)</f>
        <v>2903</v>
      </c>
      <c r="D4" s="12" t="n">
        <v>0.0475</v>
      </c>
      <c r="E4" s="2" t="n">
        <v>48.2</v>
      </c>
      <c r="F4" s="7" t="n">
        <v>87477.8</v>
      </c>
      <c r="G4" s="9" t="n">
        <f aca="false">IF(F4="", "", C4/F4)</f>
        <v>0.0331855625084307</v>
      </c>
      <c r="H4" s="6" t="n">
        <f aca="false">SUMIFS(NLR_listings!$H:$H,NLR_listings!$D:$D,A4)</f>
        <v>4</v>
      </c>
      <c r="I4" s="4" t="s">
        <v>1383</v>
      </c>
    </row>
    <row r="5" customFormat="false" ht="26.85" hidden="false" customHeight="false" outlineLevel="0" collapsed="false">
      <c r="A5" s="2" t="n">
        <v>2025</v>
      </c>
      <c r="B5" s="6" t="n">
        <f aca="false">COUNTIF(C18_listings!C:C,A5)</f>
        <v>5</v>
      </c>
      <c r="C5" s="10" t="n">
        <f aca="false">SUMIF(C18_listings!C:C,A5,C18_listings!D:D)</f>
        <v>6014</v>
      </c>
      <c r="D5" s="12" t="n">
        <v>0.04</v>
      </c>
      <c r="E5" s="2" t="n">
        <v>121.1</v>
      </c>
      <c r="F5" s="7" t="n">
        <v>285800</v>
      </c>
      <c r="G5" s="9" t="n">
        <f aca="false">IF(F5="", "", C5/F5)</f>
        <v>0.0210426871938418</v>
      </c>
      <c r="H5" s="6" t="n">
        <f aca="false">SUMIFS(NLR_listings!$H:$H,NLR_listings!$D:$D,A5)</f>
        <v>16</v>
      </c>
      <c r="I5" s="4" t="s">
        <v>1384</v>
      </c>
    </row>
    <row r="6" customFormat="false" ht="26.85" hidden="false" customHeight="false" outlineLevel="0" collapsed="false">
      <c r="A6" s="2" t="n">
        <v>2026</v>
      </c>
      <c r="B6" s="6" t="n">
        <f aca="false">COUNTIF(C18_listings!C:C,A6)</f>
        <v>6</v>
      </c>
      <c r="C6" s="10" t="n">
        <f aca="false">SUMIF(C18_listings!C:C,A6,C18_listings!D:D)</f>
        <v>19518</v>
      </c>
      <c r="D6" s="2" t="s">
        <v>98</v>
      </c>
      <c r="E6" s="2" t="s">
        <v>98</v>
      </c>
      <c r="F6" s="2" t="s">
        <v>98</v>
      </c>
      <c r="G6" s="2" t="s">
        <v>98</v>
      </c>
      <c r="H6" s="6" t="n">
        <f aca="false">SUMIFS(NLR_listings!$H:$H,NLR_listings!$D:$D,A6)</f>
        <v>11</v>
      </c>
      <c r="I6" s="4" t="s">
        <v>1385</v>
      </c>
    </row>
    <row r="8" customFormat="false" ht="15" hidden="false" customHeight="false" outlineLevel="0" collapsed="false">
      <c r="A8" s="0" t="s">
        <v>1386</v>
      </c>
    </row>
    <row r="9" customFormat="false" ht="15" hidden="false" customHeight="false" outlineLevel="0" collapsed="false">
      <c r="A9" s="0" t="s">
        <v>1387</v>
      </c>
    </row>
    <row r="10" customFormat="false" ht="15" hidden="false" customHeight="false" outlineLevel="0" collapsed="false">
      <c r="A10" s="0" t="s">
        <v>1388</v>
      </c>
    </row>
    <row r="11" customFormat="false" ht="15" hidden="false" customHeight="false" outlineLevel="0" collapsed="false">
      <c r="A11" s="0" t="s">
        <v>1389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2026-10-07T05:05:20Z</dcterms:created>
  <dc:creator>openpyxl</dc:creator>
  <dc:description/>
  <dc:language>en-US</dc:language>
  <cp:lastModifiedBy/>
  <dcterms:modified xsi:type="dcterms:W3CDTF">2026-10-07T05:05:22Z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