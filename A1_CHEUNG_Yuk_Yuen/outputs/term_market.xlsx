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_rels/drawing2.xml.rels" ContentType="application/vnd.openxmlformats-package.relationship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puts" sheetId="1" state="visible" r:id="rId3"/>
    <sheet name="Funding_sum" sheetId="2" state="visible" r:id="rId4"/>
    <sheet name="IPO_full_year" sheetId="3" state="visible" r:id="rId5"/>
  </sheets>
  <definedNames>
    <definedName function="false" hidden="true" localSheetId="0" name="_xlnm._FilterDatabase" vbProcedure="false">Inputs!$A$1:$H$24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2" authorId="0">
      <text>
        <r>
          <rPr>
            <sz val="10"/>
            <rFont val="Arial"/>
            <family val="2"/>
          </rPr>
          <t xml:space="preserve">Input copied from the source in column G. Do not replace with a calculated total.</t>
        </r>
      </text>
    </comment>
    <comment ref="D3" authorId="0">
      <text>
        <r>
          <rPr>
            <sz val="10"/>
            <rFont val="Arial"/>
            <family val="2"/>
          </rPr>
          <t xml:space="preserve">Input copied from the source in column G. Do not replace with a calculated total.</t>
        </r>
      </text>
    </comment>
    <comment ref="D4" authorId="0">
      <text>
        <r>
          <rPr>
            <sz val="10"/>
            <rFont val="Arial"/>
            <family val="2"/>
          </rPr>
          <t xml:space="preserve">Input copied from the source in column G. Do not replace with a calculated total.</t>
        </r>
      </text>
    </comment>
    <comment ref="D5" authorId="0">
      <text>
        <r>
          <rPr>
            <sz val="10"/>
            <rFont val="Arial"/>
            <family val="2"/>
          </rPr>
          <t xml:space="preserve">Input copied from the source in column G. Do not replace with a calculated total.</t>
        </r>
      </text>
    </comment>
    <comment ref="D6" authorId="0">
      <text>
        <r>
          <rPr>
            <sz val="10"/>
            <rFont val="Arial"/>
            <family val="2"/>
          </rPr>
          <t xml:space="preserve">Input copied from the source in column G. Do not replace with a calculated total.</t>
        </r>
      </text>
    </comment>
    <comment ref="D7" authorId="0">
      <text>
        <r>
          <rPr>
            <sz val="10"/>
            <rFont val="Arial"/>
            <family val="2"/>
          </rPr>
          <t xml:space="preserve">Input copied from the source in column G. Do not replace with a calculated total.</t>
        </r>
      </text>
    </comment>
    <comment ref="D8" authorId="0">
      <text>
        <r>
          <rPr>
            <sz val="10"/>
            <rFont val="Arial"/>
            <family val="2"/>
          </rPr>
          <t xml:space="preserve">Input copied from the source in column G. Do not replace with a calculated total.</t>
        </r>
      </text>
    </comment>
    <comment ref="D9" authorId="0">
      <text>
        <r>
          <rPr>
            <sz val="10"/>
            <rFont val="Arial"/>
            <family val="2"/>
          </rPr>
          <t xml:space="preserve">Input copied from the source in column G. Do not replace with a calculated total.</t>
        </r>
      </text>
    </comment>
    <comment ref="D10" authorId="0">
      <text>
        <r>
          <rPr>
            <sz val="10"/>
            <rFont val="Arial"/>
            <family val="2"/>
          </rPr>
          <t xml:space="preserve">Input copied from the source in column G. Do not replace with a calculated total.</t>
        </r>
      </text>
    </comment>
    <comment ref="D11" authorId="0">
      <text>
        <r>
          <rPr>
            <sz val="10"/>
            <rFont val="Arial"/>
            <family val="2"/>
          </rPr>
          <t xml:space="preserve">Input copied from the source in column G. Do not replace with a calculated total.</t>
        </r>
      </text>
    </comment>
    <comment ref="D12" authorId="0">
      <text>
        <r>
          <rPr>
            <sz val="10"/>
            <rFont val="Arial"/>
            <family val="2"/>
          </rPr>
          <t xml:space="preserve">Input copied from the source in column G. Do not replace with a calculated total.</t>
        </r>
      </text>
    </comment>
    <comment ref="D13" authorId="0">
      <text>
        <r>
          <rPr>
            <sz val="10"/>
            <rFont val="Arial"/>
            <family val="2"/>
          </rPr>
          <t xml:space="preserve">Input copied from the source in column G. Do not replace with a calculated total.</t>
        </r>
      </text>
    </comment>
    <comment ref="D14" authorId="0">
      <text>
        <r>
          <rPr>
            <sz val="10"/>
            <rFont val="Arial"/>
            <family val="2"/>
          </rPr>
          <t xml:space="preserve">Input copied from the source in column G. Do not replace with a calculated total.</t>
        </r>
      </text>
    </comment>
    <comment ref="D15" authorId="0">
      <text>
        <r>
          <rPr>
            <sz val="10"/>
            <rFont val="Arial"/>
            <family val="2"/>
          </rPr>
          <t xml:space="preserve">Input copied from the source in column G. Do not replace with a calculated total.</t>
        </r>
      </text>
    </comment>
    <comment ref="D16" authorId="0">
      <text>
        <r>
          <rPr>
            <sz val="10"/>
            <rFont val="Arial"/>
            <family val="2"/>
          </rPr>
          <t xml:space="preserve">Input copied from the source in column G. Do not replace with a calculated total.</t>
        </r>
      </text>
    </comment>
    <comment ref="D17" authorId="0">
      <text>
        <r>
          <rPr>
            <sz val="10"/>
            <rFont val="Arial"/>
            <family val="2"/>
          </rPr>
          <t xml:space="preserve">Input copied from the source in column G. Do not replace with a calculated total.</t>
        </r>
      </text>
    </comment>
    <comment ref="D18" authorId="0">
      <text>
        <r>
          <rPr>
            <sz val="10"/>
            <rFont val="Arial"/>
            <family val="2"/>
          </rPr>
          <t xml:space="preserve">Input copied from the source in column G. Do not replace with a calculated total.</t>
        </r>
      </text>
    </comment>
    <comment ref="D19" authorId="0">
      <text>
        <r>
          <rPr>
            <sz val="10"/>
            <rFont val="Arial"/>
            <family val="2"/>
          </rPr>
          <t xml:space="preserve">Input copied from the source in column G. Do not replace with a calculated total.</t>
        </r>
      </text>
    </comment>
    <comment ref="D20" authorId="0">
      <text>
        <r>
          <rPr>
            <sz val="10"/>
            <rFont val="Arial"/>
            <family val="2"/>
          </rPr>
          <t xml:space="preserve">Input copied from the source in column G. Do not replace with a calculated total.</t>
        </r>
      </text>
    </comment>
    <comment ref="D21" authorId="0">
      <text>
        <r>
          <rPr>
            <sz val="10"/>
            <rFont val="Arial"/>
            <family val="2"/>
          </rPr>
          <t xml:space="preserve">Input copied from the source in column G. Do not replace with a calculated total.</t>
        </r>
      </text>
    </comment>
    <comment ref="D22" authorId="0">
      <text>
        <r>
          <rPr>
            <sz val="10"/>
            <rFont val="Arial"/>
            <family val="2"/>
          </rPr>
          <t xml:space="preserve">Input copied from the source in column G. Do not replace with a calculated total.</t>
        </r>
      </text>
    </comment>
    <comment ref="D23" authorId="0">
      <text>
        <r>
          <rPr>
            <sz val="10"/>
            <rFont val="Arial"/>
            <family val="2"/>
          </rPr>
          <t xml:space="preserve">Input copied from the source in column G. Do not replace with a calculated total.</t>
        </r>
      </text>
    </comment>
    <comment ref="D24" authorId="0">
      <text>
        <r>
          <rPr>
            <sz val="10"/>
            <rFont val="Arial"/>
            <family val="2"/>
          </rPr>
          <t xml:space="preserve">Input copied from the source in column G. Do not replace with a calculated total.</t>
        </r>
      </text>
    </comment>
  </commentList>
</comments>
</file>

<file path=xl/sharedStrings.xml><?xml version="1.0" encoding="utf-8"?>
<sst xmlns="http://schemas.openxmlformats.org/spreadsheetml/2006/main" count="135" uniqueCount="76">
  <si>
    <t xml:space="preserve">year</t>
  </si>
  <si>
    <t xml:space="preserve">kind</t>
  </si>
  <si>
    <t xml:space="preserve">item</t>
  </si>
  <si>
    <t xml:space="preserve">amount_as_printed</t>
  </si>
  <si>
    <t xml:space="preserve">unit</t>
  </si>
  <si>
    <t xml:space="preserve">hkd_million</t>
  </si>
  <si>
    <t xml:space="preserve">source_url</t>
  </si>
  <si>
    <t xml:space="preserve">note</t>
  </si>
  <si>
    <t xml:space="preserve">funding</t>
  </si>
  <si>
    <t xml:space="preserve">共同投資基金｜吸引企業落戶</t>
  </si>
  <si>
    <t xml:space="preserve">億元</t>
  </si>
  <si>
    <t xml:space="preserve">https://www.ceo.gov.hk/public/open-data/tc/policy_address/pa2022.xml</t>
  </si>
  <si>
    <r>
      <rPr>
        <sz val="11"/>
        <color rgb="FF0000FF"/>
        <rFont val="WenQuanYi Micro Hei"/>
        <family val="2"/>
      </rPr>
      <t xml:space="preserve">從未來基金撥出，成立共同投資基金。段落見 </t>
    </r>
    <r>
      <rPr>
        <sz val="11"/>
        <color rgb="FF0000FF"/>
        <rFont val="Arial"/>
        <family val="0"/>
        <charset val="1"/>
      </rPr>
      <t xml:space="preserve">XML</t>
    </r>
    <r>
      <rPr>
        <sz val="11"/>
        <color rgb="FF0000FF"/>
        <rFont val="WenQuanYi Micro Hei"/>
        <family val="2"/>
      </rPr>
      <t xml:space="preserve">，並在附篇重覆一次。</t>
    </r>
  </si>
  <si>
    <r>
      <rPr>
        <sz val="11"/>
        <color rgb="FF0000FF"/>
        <rFont val="WenQuanYi Micro Hei"/>
        <family val="2"/>
      </rPr>
      <t xml:space="preserve">產學研</t>
    </r>
    <r>
      <rPr>
        <sz val="11"/>
        <color rgb="FF0000FF"/>
        <rFont val="Arial"/>
        <family val="0"/>
        <charset val="1"/>
      </rPr>
      <t xml:space="preserve">1+</t>
    </r>
    <r>
      <rPr>
        <sz val="11"/>
        <color rgb="FF0000FF"/>
        <rFont val="WenQuanYi Micro Hei"/>
        <family val="2"/>
      </rPr>
      <t xml:space="preserve">計劃｜大學科研成果商品化</t>
    </r>
  </si>
  <si>
    <r>
      <rPr>
        <sz val="11"/>
        <color rgb="FF0000FF"/>
        <rFont val="WenQuanYi Micro Hei"/>
        <family val="2"/>
      </rPr>
      <t xml:space="preserve">在創新及科技基金下設立，總資助額 </t>
    </r>
    <r>
      <rPr>
        <sz val="11"/>
        <color rgb="FF0000FF"/>
        <rFont val="Arial"/>
        <family val="0"/>
        <charset val="1"/>
      </rPr>
      <t xml:space="preserve">100 </t>
    </r>
    <r>
      <rPr>
        <sz val="11"/>
        <color rgb="FF0000FF"/>
        <rFont val="WenQuanYi Micro Hei"/>
        <family val="2"/>
      </rPr>
      <t xml:space="preserve">億元，由 </t>
    </r>
    <r>
      <rPr>
        <sz val="11"/>
        <color rgb="FF0000FF"/>
        <rFont val="Arial"/>
        <family val="0"/>
        <charset val="1"/>
      </rPr>
      <t xml:space="preserve">2023 </t>
    </r>
    <r>
      <rPr>
        <sz val="11"/>
        <color rgb="FF0000FF"/>
        <rFont val="WenQuanYi Micro Hei"/>
        <family val="2"/>
      </rPr>
      <t xml:space="preserve">年開始。</t>
    </r>
  </si>
  <si>
    <t xml:space="preserve">策略性創科基金｜生命健康科技、人工智能與數據科學、先進製造與新能源</t>
  </si>
  <si>
    <r>
      <rPr>
        <sz val="11"/>
        <color rgb="FF0000FF"/>
        <rFont val="WenQuanYi Micro Hei"/>
        <family val="2"/>
      </rPr>
      <t xml:space="preserve">正文寫配合 </t>
    </r>
    <r>
      <rPr>
        <sz val="11"/>
        <color rgb="FF0000FF"/>
        <rFont val="Arial"/>
        <family val="0"/>
        <charset val="1"/>
      </rPr>
      <t xml:space="preserve">50 </t>
    </r>
    <r>
      <rPr>
        <sz val="11"/>
        <color rgb="FF0000FF"/>
        <rFont val="WenQuanYi Micro Hei"/>
        <family val="2"/>
      </rPr>
      <t xml:space="preserve">億元策略性創科基金。另寫的「過百億元投資」是吸引企業的目標，不是另一筆政府撥款。</t>
    </r>
  </si>
  <si>
    <t xml:space="preserve">新型工業加速計劃｜生命健康科技、人工智能與數據科學、先進製造與新能源</t>
  </si>
  <si>
    <t xml:space="preserve">https://www.ceo.gov.hk/public/open-data/tc/policy_address/pa2023.xml</t>
  </si>
  <si>
    <r>
      <rPr>
        <sz val="11"/>
        <color rgb="FF0000FF"/>
        <rFont val="WenQuanYi Micro Hei"/>
        <family val="2"/>
      </rPr>
      <t xml:space="preserve">總資助額 </t>
    </r>
    <r>
      <rPr>
        <sz val="11"/>
        <color rgb="FF0000FF"/>
        <rFont val="Arial"/>
        <family val="0"/>
        <charset val="1"/>
      </rPr>
      <t xml:space="preserve">100 </t>
    </r>
    <r>
      <rPr>
        <sz val="11"/>
        <color rgb="FF0000FF"/>
        <rFont val="WenQuanYi Micro Hei"/>
        <family val="2"/>
      </rPr>
      <t xml:space="preserve">億元。單一項目配對資助最多 </t>
    </r>
    <r>
      <rPr>
        <sz val="11"/>
        <color rgb="FF0000FF"/>
        <rFont val="Arial"/>
        <family val="0"/>
        <charset val="1"/>
      </rPr>
      <t xml:space="preserve">2 </t>
    </r>
    <r>
      <rPr>
        <sz val="11"/>
        <color rgb="FF0000FF"/>
        <rFont val="WenQuanYi Micro Hei"/>
        <family val="2"/>
      </rPr>
      <t xml:space="preserve">億元，比例為政府 </t>
    </r>
    <r>
      <rPr>
        <sz val="11"/>
        <color rgb="FF0000FF"/>
        <rFont val="Arial"/>
        <family val="0"/>
        <charset val="1"/>
      </rPr>
      <t xml:space="preserve">1 </t>
    </r>
    <r>
      <rPr>
        <sz val="11"/>
        <color rgb="FF0000FF"/>
        <rFont val="WenQuanYi Micro Hei"/>
        <family val="2"/>
      </rPr>
      <t xml:space="preserve">比公司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Micro Hei"/>
        <family val="2"/>
      </rPr>
      <t xml:space="preserve">。</t>
    </r>
  </si>
  <si>
    <t xml:space="preserve">電影發展基金及創意智優計劃｜文化創意</t>
  </si>
  <si>
    <r>
      <rPr>
        <sz val="11"/>
        <color rgb="FF0000FF"/>
        <rFont val="WenQuanYi Micro Hei"/>
        <family val="2"/>
      </rPr>
      <t xml:space="preserve">第 </t>
    </r>
    <r>
      <rPr>
        <sz val="11"/>
        <color rgb="FF0000FF"/>
        <rFont val="Arial"/>
        <family val="0"/>
        <charset val="1"/>
      </rPr>
      <t xml:space="preserve">63 </t>
    </r>
    <r>
      <rPr>
        <sz val="11"/>
        <color rgb="FF0000FF"/>
        <rFont val="WenQuanYi Micro Hei"/>
        <family val="2"/>
      </rPr>
      <t xml:space="preserve">段：兩個計劃共注資 </t>
    </r>
    <r>
      <rPr>
        <sz val="11"/>
        <color rgb="FF0000FF"/>
        <rFont val="Arial"/>
        <family val="0"/>
        <charset val="1"/>
      </rPr>
      <t xml:space="preserve">43 </t>
    </r>
    <r>
      <rPr>
        <sz val="11"/>
        <color rgb="FF0000FF"/>
        <rFont val="WenQuanYi Micro Hei"/>
        <family val="2"/>
      </rPr>
      <t xml:space="preserve">億元。</t>
    </r>
  </si>
  <si>
    <t xml:space="preserve">研究配對補助金計劃｜院校研究</t>
  </si>
  <si>
    <t xml:space="preserve">https://www.ceo.gov.hk/public/open-data/tc/policy_address/pa2024.xml</t>
  </si>
  <si>
    <r>
      <rPr>
        <sz val="11"/>
        <color rgb="FF0000FF"/>
        <rFont val="WenQuanYi Micro Hei"/>
        <family val="2"/>
      </rPr>
      <t xml:space="preserve">第 </t>
    </r>
    <r>
      <rPr>
        <sz val="11"/>
        <color rgb="FF0000FF"/>
        <rFont val="Arial"/>
        <family val="0"/>
        <charset val="1"/>
      </rPr>
      <t xml:space="preserve">78 </t>
    </r>
    <r>
      <rPr>
        <sz val="11"/>
        <color rgb="FF0000FF"/>
        <rFont val="WenQuanYi Micro Hei"/>
        <family val="2"/>
      </rPr>
      <t xml:space="preserve">段。</t>
    </r>
  </si>
  <si>
    <t xml:space="preserve">創科產業引導基金｜生命健康科技、人工智能與機械人、半導體與智能設備、先進材料、新能源</t>
  </si>
  <si>
    <r>
      <rPr>
        <sz val="11"/>
        <color rgb="FF0000FF"/>
        <rFont val="WenQuanYi Micro Hei"/>
        <family val="2"/>
      </rPr>
      <t xml:space="preserve">設立母基金。</t>
    </r>
    <r>
      <rPr>
        <sz val="11"/>
        <color rgb="FF0000FF"/>
        <rFont val="Arial"/>
        <family val="0"/>
        <charset val="1"/>
      </rPr>
      <t xml:space="preserve">2026 </t>
    </r>
    <r>
      <rPr>
        <sz val="11"/>
        <color rgb="FF0000FF"/>
        <rFont val="WenQuanYi Micro Hei"/>
        <family val="2"/>
      </rPr>
      <t xml:space="preserve">年正文寫預期年內啟動，沒有再寫一個新的金額。</t>
    </r>
  </si>
  <si>
    <t xml:space="preserve">創科創投基金聯合基金｜策略性產業初創</t>
  </si>
  <si>
    <r>
      <rPr>
        <sz val="11"/>
        <color rgb="FF0000FF"/>
        <rFont val="WenQuanYi Micro Hei"/>
        <family val="2"/>
      </rPr>
      <t xml:space="preserve">調撥 </t>
    </r>
    <r>
      <rPr>
        <sz val="11"/>
        <color rgb="FF0000FF"/>
        <rFont val="Arial"/>
        <family val="0"/>
        <charset val="1"/>
      </rPr>
      <t xml:space="preserve">15 </t>
    </r>
    <r>
      <rPr>
        <sz val="11"/>
        <color rgb="FF0000FF"/>
        <rFont val="WenQuanYi Micro Hei"/>
        <family val="2"/>
      </rPr>
      <t xml:space="preserve">億元與業界配對。</t>
    </r>
  </si>
  <si>
    <t xml:space="preserve">創科加速器先導計劃｜初創企業加速</t>
  </si>
  <si>
    <r>
      <rPr>
        <sz val="11"/>
        <color rgb="FF0000FF"/>
        <rFont val="WenQuanYi Micro Hei"/>
        <family val="2"/>
      </rPr>
      <t xml:space="preserve">第 </t>
    </r>
    <r>
      <rPr>
        <sz val="11"/>
        <color rgb="FF0000FF"/>
        <rFont val="Arial"/>
        <family val="0"/>
        <charset val="1"/>
      </rPr>
      <t xml:space="preserve">80 </t>
    </r>
    <r>
      <rPr>
        <sz val="11"/>
        <color rgb="FF0000FF"/>
        <rFont val="WenQuanYi Micro Hei"/>
        <family val="2"/>
      </rPr>
      <t xml:space="preserve">段。配對比例政府 </t>
    </r>
    <r>
      <rPr>
        <sz val="11"/>
        <color rgb="FF0000FF"/>
        <rFont val="Arial"/>
        <family val="0"/>
        <charset val="1"/>
      </rPr>
      <t xml:space="preserve">1 </t>
    </r>
    <r>
      <rPr>
        <sz val="11"/>
        <color rgb="FF0000FF"/>
        <rFont val="WenQuanYi Micro Hei"/>
        <family val="2"/>
      </rPr>
      <t xml:space="preserve">比機構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Micro Hei"/>
        <family val="2"/>
      </rPr>
      <t xml:space="preserve">，資助上限 </t>
    </r>
    <r>
      <rPr>
        <sz val="11"/>
        <color rgb="FF0000FF"/>
        <rFont val="Arial"/>
        <family val="0"/>
        <charset val="1"/>
      </rPr>
      <t xml:space="preserve">3,000 </t>
    </r>
    <r>
      <rPr>
        <sz val="11"/>
        <color rgb="FF0000FF"/>
        <rFont val="WenQuanYi Micro Hei"/>
        <family val="2"/>
      </rPr>
      <t xml:space="preserve">萬元。</t>
    </r>
  </si>
  <si>
    <t xml:space="preserve">新能源運輸基金預留｜電動的士及專營巴士、氫能重型車試驗</t>
  </si>
  <si>
    <r>
      <rPr>
        <sz val="11"/>
        <color rgb="FF0000FF"/>
        <rFont val="WenQuanYi Micro Hei"/>
        <family val="2"/>
      </rPr>
      <t xml:space="preserve">第 </t>
    </r>
    <r>
      <rPr>
        <sz val="11"/>
        <color rgb="FF0000FF"/>
        <rFont val="Arial"/>
        <family val="0"/>
        <charset val="1"/>
      </rPr>
      <t xml:space="preserve">85 </t>
    </r>
    <r>
      <rPr>
        <sz val="11"/>
        <color rgb="FF0000FF"/>
        <rFont val="WenQuanYi Micro Hei"/>
        <family val="2"/>
      </rPr>
      <t xml:space="preserve">段寫「約 </t>
    </r>
    <r>
      <rPr>
        <sz val="11"/>
        <color rgb="FF0000FF"/>
        <rFont val="Arial"/>
        <family val="0"/>
        <charset val="1"/>
      </rPr>
      <t xml:space="preserve">7.5 </t>
    </r>
    <r>
      <rPr>
        <sz val="11"/>
        <color rgb="FF0000FF"/>
        <rFont val="WenQuanYi Micro Hei"/>
        <family val="2"/>
      </rPr>
      <t xml:space="preserve">億元」。</t>
    </r>
  </si>
  <si>
    <t xml:space="preserve">前沿科技研究支援計劃｜人工智能等前沿科研</t>
  </si>
  <si>
    <t xml:space="preserve">https://www.ceo.gov.hk/public/open-data/tc/policy_address/pa2025.xml</t>
  </si>
  <si>
    <r>
      <rPr>
        <sz val="11"/>
        <color rgb="FF0000FF"/>
        <rFont val="WenQuanYi Micro Hei"/>
        <family val="2"/>
      </rPr>
      <t xml:space="preserve">第 </t>
    </r>
    <r>
      <rPr>
        <sz val="11"/>
        <color rgb="FF0000FF"/>
        <rFont val="Arial"/>
        <family val="0"/>
        <charset val="1"/>
      </rPr>
      <t xml:space="preserve">68 </t>
    </r>
    <r>
      <rPr>
        <sz val="11"/>
        <color rgb="FF0000FF"/>
        <rFont val="WenQuanYi Micro Hei"/>
        <family val="2"/>
      </rPr>
      <t xml:space="preserve">段：早前宣布，將於短期內接受申請。</t>
    </r>
  </si>
  <si>
    <t xml:space="preserve">香港人工智能研發院｜人工智能研發與應用</t>
  </si>
  <si>
    <r>
      <rPr>
        <sz val="11"/>
        <color rgb="FF0000FF"/>
        <rFont val="WenQuanYi Micro Hei"/>
        <family val="2"/>
      </rPr>
      <t xml:space="preserve">第 </t>
    </r>
    <r>
      <rPr>
        <sz val="11"/>
        <color rgb="FF0000FF"/>
        <rFont val="Arial"/>
        <family val="0"/>
        <charset val="1"/>
      </rPr>
      <t xml:space="preserve">69 </t>
    </r>
    <r>
      <rPr>
        <sz val="11"/>
        <color rgb="FF0000FF"/>
        <rFont val="WenQuanYi Micro Hei"/>
        <family val="2"/>
      </rPr>
      <t xml:space="preserve">段：已預留十億元，於 </t>
    </r>
    <r>
      <rPr>
        <sz val="11"/>
        <color rgb="FF0000FF"/>
        <rFont val="Arial"/>
        <family val="0"/>
        <charset val="1"/>
      </rPr>
      <t xml:space="preserve">2026 </t>
    </r>
    <r>
      <rPr>
        <sz val="11"/>
        <color rgb="FF0000FF"/>
        <rFont val="WenQuanYi Micro Hei"/>
        <family val="2"/>
      </rPr>
      <t xml:space="preserve">年成立。</t>
    </r>
  </si>
  <si>
    <t xml:space="preserve">航天科技特別徵集｜航天科技</t>
  </si>
  <si>
    <r>
      <rPr>
        <sz val="11"/>
        <color rgb="FF0000FF"/>
        <rFont val="WenQuanYi Micro Hei"/>
        <family val="2"/>
      </rPr>
      <t xml:space="preserve">第 </t>
    </r>
    <r>
      <rPr>
        <sz val="11"/>
        <color rgb="FF0000FF"/>
        <rFont val="Arial"/>
        <family val="0"/>
        <charset val="1"/>
      </rPr>
      <t xml:space="preserve">159 </t>
    </r>
    <r>
      <rPr>
        <sz val="11"/>
        <color rgb="FF0000FF"/>
        <rFont val="WenQuanYi Micro Hei"/>
        <family val="2"/>
      </rPr>
      <t xml:space="preserve">段寫「逾 </t>
    </r>
    <r>
      <rPr>
        <sz val="11"/>
        <color rgb="FF0000FF"/>
        <rFont val="Arial"/>
        <family val="0"/>
        <charset val="1"/>
      </rPr>
      <t xml:space="preserve">1 </t>
    </r>
    <r>
      <rPr>
        <sz val="11"/>
        <color rgb="FF0000FF"/>
        <rFont val="WenQuanYi Micro Hei"/>
        <family val="2"/>
      </rPr>
      <t xml:space="preserve">億元」，表內金額取正文的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Micro Hei"/>
        <family val="2"/>
      </rPr>
      <t xml:space="preserve">，並在備註保留「逾」。</t>
    </r>
  </si>
  <si>
    <t xml:space="preserve">創科創投基金優化計劃｜創科創投</t>
  </si>
  <si>
    <t xml:space="preserve">https://www.ceo.gov.hk/public/open-data/tc/policy_address/pa2026.xml</t>
  </si>
  <si>
    <r>
      <rPr>
        <sz val="11"/>
        <color rgb="FF0000FF"/>
        <rFont val="WenQuanYi Micro Hei"/>
        <family val="2"/>
      </rPr>
      <t xml:space="preserve">預留額外 </t>
    </r>
    <r>
      <rPr>
        <sz val="11"/>
        <color rgb="FF0000FF"/>
        <rFont val="Arial"/>
        <family val="0"/>
        <charset val="1"/>
      </rPr>
      <t xml:space="preserve">10 </t>
    </r>
    <r>
      <rPr>
        <sz val="11"/>
        <color rgb="FF0000FF"/>
        <rFont val="WenQuanYi Micro Hei"/>
        <family val="2"/>
      </rPr>
      <t xml:space="preserve">億元。這是 </t>
    </r>
    <r>
      <rPr>
        <sz val="11"/>
        <color rgb="FF0000FF"/>
        <rFont val="Arial"/>
        <family val="0"/>
        <charset val="1"/>
      </rPr>
      <t xml:space="preserve">2024 </t>
    </r>
    <r>
      <rPr>
        <sz val="11"/>
        <color rgb="FF0000FF"/>
        <rFont val="WenQuanYi Micro Hei"/>
        <family val="2"/>
      </rPr>
      <t xml:space="preserve">年 </t>
    </r>
    <r>
      <rPr>
        <sz val="11"/>
        <color rgb="FF0000FF"/>
        <rFont val="Arial"/>
        <family val="0"/>
        <charset val="1"/>
      </rPr>
      <t xml:space="preserve">15 </t>
    </r>
    <r>
      <rPr>
        <sz val="11"/>
        <color rgb="FF0000FF"/>
        <rFont val="WenQuanYi Micro Hei"/>
        <family val="2"/>
      </rPr>
      <t xml:space="preserve">億元那一行以外的新句子。</t>
    </r>
  </si>
  <si>
    <t xml:space="preserve">人工智能資助計劃｜人工智能算力</t>
  </si>
  <si>
    <r>
      <rPr>
        <sz val="11"/>
        <color rgb="FF0000FF"/>
        <rFont val="WenQuanYi Micro Hei"/>
        <family val="2"/>
      </rPr>
      <t xml:space="preserve">第 </t>
    </r>
    <r>
      <rPr>
        <sz val="11"/>
        <color rgb="FF0000FF"/>
        <rFont val="Arial"/>
        <family val="0"/>
        <charset val="1"/>
      </rPr>
      <t xml:space="preserve">201 </t>
    </r>
    <r>
      <rPr>
        <sz val="11"/>
        <color rgb="FF0000FF"/>
        <rFont val="WenQuanYi Micro Hei"/>
        <family val="2"/>
      </rPr>
      <t xml:space="preserve">段：向計劃注資 </t>
    </r>
    <r>
      <rPr>
        <sz val="11"/>
        <color rgb="FF0000FF"/>
        <rFont val="Arial"/>
        <family val="0"/>
        <charset val="1"/>
      </rPr>
      <t xml:space="preserve">10 </t>
    </r>
    <r>
      <rPr>
        <sz val="11"/>
        <color rgb="FF0000FF"/>
        <rFont val="WenQuanYi Micro Hei"/>
        <family val="2"/>
      </rPr>
      <t xml:space="preserve">億元。</t>
    </r>
  </si>
  <si>
    <r>
      <rPr>
        <sz val="11"/>
        <color rgb="FF0000FF"/>
        <rFont val="WenQuanYi Micro Hei"/>
        <family val="2"/>
      </rPr>
      <t xml:space="preserve">社福 </t>
    </r>
    <r>
      <rPr>
        <sz val="11"/>
        <color rgb="FF0000FF"/>
        <rFont val="Arial"/>
        <family val="0"/>
        <charset val="1"/>
      </rPr>
      <t xml:space="preserve">AI </t>
    </r>
    <r>
      <rPr>
        <sz val="11"/>
        <color rgb="FF0000FF"/>
        <rFont val="WenQuanYi Micro Hei"/>
        <family val="2"/>
      </rPr>
      <t xml:space="preserve">實驗室｜社福服務中的人工智能應用</t>
    </r>
  </si>
  <si>
    <r>
      <rPr>
        <sz val="11"/>
        <color rgb="FF0000FF"/>
        <rFont val="WenQuanYi Micro Hei"/>
        <family val="2"/>
      </rPr>
      <t xml:space="preserve">第 </t>
    </r>
    <r>
      <rPr>
        <sz val="11"/>
        <color rgb="FF0000FF"/>
        <rFont val="Arial"/>
        <family val="0"/>
        <charset val="1"/>
      </rPr>
      <t xml:space="preserve">113 </t>
    </r>
    <r>
      <rPr>
        <sz val="11"/>
        <color rgb="FF0000FF"/>
        <rFont val="WenQuanYi Micro Hei"/>
        <family val="2"/>
      </rPr>
      <t xml:space="preserve">段。</t>
    </r>
  </si>
  <si>
    <t xml:space="preserve">建造業創新及科技基金｜建造業創新科技</t>
  </si>
  <si>
    <r>
      <rPr>
        <sz val="11"/>
        <color rgb="FF0000FF"/>
        <rFont val="WenQuanYi Micro Hei"/>
        <family val="2"/>
      </rPr>
      <t xml:space="preserve">第 </t>
    </r>
    <r>
      <rPr>
        <sz val="11"/>
        <color rgb="FF0000FF"/>
        <rFont val="Arial"/>
        <family val="0"/>
        <charset val="1"/>
      </rPr>
      <t xml:space="preserve">333 </t>
    </r>
    <r>
      <rPr>
        <sz val="11"/>
        <color rgb="FF0000FF"/>
        <rFont val="WenQuanYi Micro Hei"/>
        <family val="2"/>
      </rPr>
      <t xml:space="preserve">段：政府注資 </t>
    </r>
    <r>
      <rPr>
        <sz val="11"/>
        <color rgb="FF0000FF"/>
        <rFont val="Arial"/>
        <family val="0"/>
        <charset val="1"/>
      </rPr>
      <t xml:space="preserve">10 </t>
    </r>
    <r>
      <rPr>
        <sz val="11"/>
        <color rgb="FF0000FF"/>
        <rFont val="WenQuanYi Micro Hei"/>
        <family val="2"/>
      </rPr>
      <t xml:space="preserve">億元。建造業議會另出資 </t>
    </r>
    <r>
      <rPr>
        <sz val="11"/>
        <color rgb="FF0000FF"/>
        <rFont val="Arial"/>
        <family val="0"/>
        <charset val="1"/>
      </rPr>
      <t xml:space="preserve">4 </t>
    </r>
    <r>
      <rPr>
        <sz val="11"/>
        <color rgb="FF0000FF"/>
        <rFont val="WenQuanYi Micro Hei"/>
        <family val="2"/>
      </rPr>
      <t xml:space="preserve">億元，不計入政府金額。</t>
    </r>
  </si>
  <si>
    <t xml:space="preserve">hkex</t>
  </si>
  <si>
    <t xml:space="preserve">IPO funds raised, Main Board and GEM</t>
  </si>
  <si>
    <t xml:space="preserve">HK$ million</t>
  </si>
  <si>
    <t xml:space="preserve">https://www.hkex.com.hk/-/media/HKEX-Market/Market-Data/Statistics/Consolidated-Reports/Annual-Market-Statistics/e_2022-Market-Statistics.pdf</t>
  </si>
  <si>
    <t xml:space="preserve">30 Dec 2022. Market Statistics 2022, p.3. Provisional. Includes January–June, before 1 July 2022.</t>
  </si>
  <si>
    <t xml:space="preserve">https://www.hkex.com.hk/-/media/HKEX-Market/Market-Data/Statistics/Consolidated-Reports/Annual-Market-Statistics/FY_2023-Annual-Market-Stat_Eng.pdf</t>
  </si>
  <si>
    <t xml:space="preserve">29 Dec 2023. Market Statistics 2023, p.3. Provisional.</t>
  </si>
  <si>
    <t xml:space="preserve">IPOs, Main Board, as printed</t>
  </si>
  <si>
    <t xml:space="preserve">as printed</t>
  </si>
  <si>
    <t xml:space="preserve">https://www.hkex.com.hk/-/media/HKEX-Market/News/News-Release/2026/260226news/260226news_eng.pdf</t>
  </si>
  <si>
    <t xml:space="preserve">2025 results, p.17. Unit is not repeated on this row. The same document's narrative calls the 2025 figure HK$286.9 billion.</t>
  </si>
  <si>
    <t xml:space="preserve">IPO fundraising, narrative</t>
  </si>
  <si>
    <t xml:space="preserve">HK$ billion</t>
  </si>
  <si>
    <t xml:space="preserve">31 Dec 2025. 2025 Final Results, p.7. 119 new listings.</t>
  </si>
  <si>
    <t xml:space="preserve">2025 results, p.17. Kept beside 286.9. Not averaged.</t>
  </si>
  <si>
    <t xml:space="preserve">Funds raised through IPOs, first eight months</t>
  </si>
  <si>
    <t xml:space="preserve">https://www.hkex.com.hk/Market-Data/Statistics/Consolidated-Reports/HKEX-Monthly-Market-Highlights?sc_lang=en</t>
  </si>
  <si>
    <t xml:space="preserve">31 Aug 2026. Before the 16 September 2026 Policy Address. Year not finished.</t>
  </si>
  <si>
    <t xml:space="preserve">stated_funding_hkd_million</t>
  </si>
  <si>
    <t xml:space="preserve">Total of stated amounts</t>
  </si>
  <si>
    <r>
      <rPr>
        <sz val="11"/>
        <color theme="1"/>
        <rFont val="Calibri"/>
        <family val="2"/>
        <charset val="1"/>
      </rPr>
      <t xml:space="preserve">This total adds only rows whose unit is </t>
    </r>
    <r>
      <rPr>
        <sz val="11"/>
        <color theme="1"/>
        <rFont val="WenQuanYi Micro Hei"/>
        <family val="2"/>
      </rPr>
      <t xml:space="preserve">億元</t>
    </r>
    <r>
      <rPr>
        <sz val="11"/>
        <color theme="1"/>
        <rFont val="Calibri"/>
        <family val="2"/>
        <charset val="1"/>
      </rPr>
      <t xml:space="preserve">. It is not total government expenditure.</t>
    </r>
  </si>
  <si>
    <t xml:space="preserve">ipo_hkd_billion</t>
  </si>
  <si>
    <t xml:space="preserve">what_this_is</t>
  </si>
  <si>
    <t xml:space="preserve">Main Board and GEM, HK$ million converted by /1000</t>
  </si>
  <si>
    <t xml:space="preserve">Narrative figure already in HK$ billion. 286.8 on p.17 is not plotted.</t>
  </si>
  <si>
    <t xml:space="preserve">2024 value 87.8 and 2026 value 342.4 are not on this chart.</t>
  </si>
  <si>
    <t xml:space="preserve">2024 has no unit on the printed row. 2026 is eight months and ends before the Policy Address.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</si>
</sst>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00FF"/>
      <name val="WenQuanYi Micro Hei"/>
      <family val="2"/>
    </font>
    <font>
      <sz val="11"/>
      <color rgb="FF000000"/>
      <name val="Arial"/>
      <family val="0"/>
      <charset val="1"/>
    </font>
    <font>
      <sz val="10"/>
      <name val="Arial"/>
      <family val="2"/>
    </font>
    <font>
      <sz val="11"/>
      <color theme="1"/>
      <name val="WenQuanYi Micro Hei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F81BD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IPO funds, full years with a stated unit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IPO_full_year!B1</c:f>
              <c:strCache>
                <c:ptCount val="1"/>
                <c:pt idx="0">
                  <c:v>ipo_hkd_billion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IPO_full_year!$A$2:$A$4</c:f>
              <c:strCache>
                <c:ptCount val="3"/>
                <c:pt idx="0">
                  <c:v>2022</c:v>
                </c:pt>
                <c:pt idx="1">
                  <c:v>2023</c:v>
                </c:pt>
                <c:pt idx="2">
                  <c:v>2025</c:v>
                </c:pt>
              </c:strCache>
            </c:strRef>
          </c:cat>
          <c:val>
            <c:numRef>
              <c:f>IPO_full_year!$B$2:$B$4</c:f>
              <c:numCache>
                <c:formatCode>General</c:formatCode>
                <c:ptCount val="3"/>
                <c:pt idx="0">
                  <c:v>104.5703</c:v>
                </c:pt>
                <c:pt idx="1">
                  <c:v>46.2949</c:v>
                </c:pt>
                <c:pt idx="2">
                  <c:v>286.9</c:v>
                </c:pt>
              </c:numCache>
            </c:numRef>
          </c:val>
        </c:ser>
        <c:gapWidth val="150"/>
        <c:overlap val="0"/>
        <c:axId val="86027744"/>
        <c:axId val="21410398"/>
      </c:barChart>
      <c:catAx>
        <c:axId val="86027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1410398"/>
        <c:crosses val="autoZero"/>
        <c:auto val="1"/>
        <c:lblAlgn val="ctr"/>
        <c:lblOffset val="100"/>
        <c:noMultiLvlLbl val="0"/>
      </c:catAx>
      <c:valAx>
        <c:axId val="2141039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HK$ billion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602774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1</xdr:row>
      <xdr:rowOff>0</xdr:rowOff>
    </xdr:from>
    <xdr:to>
      <xdr:col>11</xdr:col>
      <xdr:colOff>585720</xdr:colOff>
      <xdr:row>15</xdr:row>
      <xdr:rowOff>32400</xdr:rowOff>
    </xdr:to>
    <xdr:graphicFrame>
      <xdr:nvGraphicFramePr>
        <xdr:cNvPr id="0" name="Chart 1"/>
        <xdr:cNvGraphicFramePr/>
      </xdr:nvGraphicFramePr>
      <xdr:xfrm>
        <a:off x="8848800" y="190440"/>
        <a:ext cx="539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4"/>
    <col collapsed="false" customWidth="true" hidden="false" outlineLevel="0" max="3" min="3" style="0" width="42"/>
    <col collapsed="false" customWidth="true" hidden="false" outlineLevel="0" max="4" min="4" style="0" width="20"/>
    <col collapsed="false" customWidth="true" hidden="false" outlineLevel="0" max="5" min="5" style="0" width="16"/>
    <col collapsed="false" customWidth="true" hidden="false" outlineLevel="0" max="6" min="6" style="0" width="18"/>
    <col collapsed="false" customWidth="true" hidden="false" outlineLevel="0" max="7" min="7" style="0" width="36"/>
    <col collapsed="false" customWidth="true" hidden="false" outlineLevel="0" max="8" min="8" style="0" width="55"/>
  </cols>
  <sheetData>
    <row r="1" customFormat="false" ht="21.7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customFormat="false" ht="28.35" hidden="false" customHeight="false" outlineLevel="0" collapsed="false">
      <c r="A2" s="2" t="n">
        <v>2022</v>
      </c>
      <c r="B2" s="2" t="s">
        <v>8</v>
      </c>
      <c r="C2" s="3" t="s">
        <v>9</v>
      </c>
      <c r="D2" s="2" t="n">
        <v>300</v>
      </c>
      <c r="E2" s="3" t="s">
        <v>10</v>
      </c>
      <c r="F2" s="4" t="n">
        <f aca="false">IF(E2="億元",D2*100,IF(E2="HK$ million",D2,IF(E2="HK$ billion",D2*1000,"")))</f>
        <v>30000</v>
      </c>
      <c r="G2" s="2" t="s">
        <v>11</v>
      </c>
      <c r="H2" s="5" t="s">
        <v>12</v>
      </c>
    </row>
    <row r="3" customFormat="false" ht="15" hidden="false" customHeight="false" outlineLevel="0" collapsed="false">
      <c r="A3" s="2" t="n">
        <v>2022</v>
      </c>
      <c r="B3" s="2" t="s">
        <v>8</v>
      </c>
      <c r="C3" s="3" t="s">
        <v>13</v>
      </c>
      <c r="D3" s="2" t="n">
        <v>100</v>
      </c>
      <c r="E3" s="3" t="s">
        <v>10</v>
      </c>
      <c r="F3" s="4" t="n">
        <f aca="false">IF(E3="億元",D3*100,IF(E3="HK$ million",D3,IF(E3="HK$ billion",D3*1000,"")))</f>
        <v>10000</v>
      </c>
      <c r="G3" s="2" t="s">
        <v>11</v>
      </c>
      <c r="H3" s="5" t="s">
        <v>14</v>
      </c>
    </row>
    <row r="4" customFormat="false" ht="28.35" hidden="false" customHeight="false" outlineLevel="0" collapsed="false">
      <c r="A4" s="2" t="n">
        <v>2022</v>
      </c>
      <c r="B4" s="2" t="s">
        <v>8</v>
      </c>
      <c r="C4" s="3" t="s">
        <v>15</v>
      </c>
      <c r="D4" s="2" t="n">
        <v>50</v>
      </c>
      <c r="E4" s="3" t="s">
        <v>10</v>
      </c>
      <c r="F4" s="4" t="n">
        <f aca="false">IF(E4="億元",D4*100,IF(E4="HK$ million",D4,IF(E4="HK$ billion",D4*1000,"")))</f>
        <v>5000</v>
      </c>
      <c r="G4" s="2" t="s">
        <v>11</v>
      </c>
      <c r="H4" s="5" t="s">
        <v>16</v>
      </c>
    </row>
    <row r="5" customFormat="false" ht="28.35" hidden="false" customHeight="false" outlineLevel="0" collapsed="false">
      <c r="A5" s="2" t="n">
        <v>2023</v>
      </c>
      <c r="B5" s="2" t="s">
        <v>8</v>
      </c>
      <c r="C5" s="3" t="s">
        <v>17</v>
      </c>
      <c r="D5" s="2" t="n">
        <v>100</v>
      </c>
      <c r="E5" s="3" t="s">
        <v>10</v>
      </c>
      <c r="F5" s="4" t="n">
        <f aca="false">IF(E5="億元",D5*100,IF(E5="HK$ million",D5,IF(E5="HK$ billion",D5*1000,"")))</f>
        <v>10000</v>
      </c>
      <c r="G5" s="2" t="s">
        <v>18</v>
      </c>
      <c r="H5" s="5" t="s">
        <v>19</v>
      </c>
    </row>
    <row r="6" customFormat="false" ht="15" hidden="false" customHeight="false" outlineLevel="0" collapsed="false">
      <c r="A6" s="2" t="n">
        <v>2023</v>
      </c>
      <c r="B6" s="2" t="s">
        <v>8</v>
      </c>
      <c r="C6" s="3" t="s">
        <v>20</v>
      </c>
      <c r="D6" s="2" t="n">
        <v>43</v>
      </c>
      <c r="E6" s="3" t="s">
        <v>10</v>
      </c>
      <c r="F6" s="4" t="n">
        <f aca="false">IF(E6="億元",D6*100,IF(E6="HK$ million",D6,IF(E6="HK$ billion",D6*1000,"")))</f>
        <v>4300</v>
      </c>
      <c r="G6" s="2" t="s">
        <v>18</v>
      </c>
      <c r="H6" s="5" t="s">
        <v>21</v>
      </c>
    </row>
    <row r="7" customFormat="false" ht="15" hidden="false" customHeight="false" outlineLevel="0" collapsed="false">
      <c r="A7" s="2" t="n">
        <v>2024</v>
      </c>
      <c r="B7" s="2" t="s">
        <v>8</v>
      </c>
      <c r="C7" s="3" t="s">
        <v>22</v>
      </c>
      <c r="D7" s="2" t="n">
        <v>15</v>
      </c>
      <c r="E7" s="3" t="s">
        <v>10</v>
      </c>
      <c r="F7" s="4" t="n">
        <f aca="false">IF(E7="億元",D7*100,IF(E7="HK$ million",D7,IF(E7="HK$ billion",D7*1000,"")))</f>
        <v>1500</v>
      </c>
      <c r="G7" s="2" t="s">
        <v>23</v>
      </c>
      <c r="H7" s="5" t="s">
        <v>24</v>
      </c>
    </row>
    <row r="8" customFormat="false" ht="28.35" hidden="false" customHeight="false" outlineLevel="0" collapsed="false">
      <c r="A8" s="2" t="n">
        <v>2024</v>
      </c>
      <c r="B8" s="2" t="s">
        <v>8</v>
      </c>
      <c r="C8" s="3" t="s">
        <v>25</v>
      </c>
      <c r="D8" s="2" t="n">
        <v>100</v>
      </c>
      <c r="E8" s="3" t="s">
        <v>10</v>
      </c>
      <c r="F8" s="4" t="n">
        <f aca="false">IF(E8="億元",D8*100,IF(E8="HK$ million",D8,IF(E8="HK$ billion",D8*1000,"")))</f>
        <v>10000</v>
      </c>
      <c r="G8" s="2" t="s">
        <v>23</v>
      </c>
      <c r="H8" s="5" t="s">
        <v>26</v>
      </c>
    </row>
    <row r="9" customFormat="false" ht="15" hidden="false" customHeight="false" outlineLevel="0" collapsed="false">
      <c r="A9" s="2" t="n">
        <v>2024</v>
      </c>
      <c r="B9" s="2" t="s">
        <v>8</v>
      </c>
      <c r="C9" s="3" t="s">
        <v>27</v>
      </c>
      <c r="D9" s="2" t="n">
        <v>15</v>
      </c>
      <c r="E9" s="3" t="s">
        <v>10</v>
      </c>
      <c r="F9" s="4" t="n">
        <f aca="false">IF(E9="億元",D9*100,IF(E9="HK$ million",D9,IF(E9="HK$ billion",D9*1000,"")))</f>
        <v>1500</v>
      </c>
      <c r="G9" s="2" t="s">
        <v>23</v>
      </c>
      <c r="H9" s="5" t="s">
        <v>28</v>
      </c>
    </row>
    <row r="10" customFormat="false" ht="15" hidden="false" customHeight="false" outlineLevel="0" collapsed="false">
      <c r="A10" s="2" t="n">
        <v>2024</v>
      </c>
      <c r="B10" s="2" t="s">
        <v>8</v>
      </c>
      <c r="C10" s="3" t="s">
        <v>29</v>
      </c>
      <c r="D10" s="2" t="n">
        <v>1.8</v>
      </c>
      <c r="E10" s="3" t="s">
        <v>10</v>
      </c>
      <c r="F10" s="4" t="n">
        <f aca="false">IF(E10="億元",D10*100,IF(E10="HK$ million",D10,IF(E10="HK$ billion",D10*1000,"")))</f>
        <v>180</v>
      </c>
      <c r="G10" s="2" t="s">
        <v>23</v>
      </c>
      <c r="H10" s="5" t="s">
        <v>30</v>
      </c>
    </row>
    <row r="11" customFormat="false" ht="15" hidden="false" customHeight="false" outlineLevel="0" collapsed="false">
      <c r="A11" s="2" t="n">
        <v>2024</v>
      </c>
      <c r="B11" s="2" t="s">
        <v>8</v>
      </c>
      <c r="C11" s="3" t="s">
        <v>31</v>
      </c>
      <c r="D11" s="2" t="n">
        <v>7.5</v>
      </c>
      <c r="E11" s="3" t="s">
        <v>10</v>
      </c>
      <c r="F11" s="4" t="n">
        <f aca="false">IF(E11="億元",D11*100,IF(E11="HK$ million",D11,IF(E11="HK$ billion",D11*1000,"")))</f>
        <v>750</v>
      </c>
      <c r="G11" s="2" t="s">
        <v>23</v>
      </c>
      <c r="H11" s="5" t="s">
        <v>32</v>
      </c>
    </row>
    <row r="12" customFormat="false" ht="15" hidden="false" customHeight="false" outlineLevel="0" collapsed="false">
      <c r="A12" s="2" t="n">
        <v>2025</v>
      </c>
      <c r="B12" s="2" t="s">
        <v>8</v>
      </c>
      <c r="C12" s="3" t="s">
        <v>33</v>
      </c>
      <c r="D12" s="2" t="n">
        <v>30</v>
      </c>
      <c r="E12" s="3" t="s">
        <v>10</v>
      </c>
      <c r="F12" s="4" t="n">
        <f aca="false">IF(E12="億元",D12*100,IF(E12="HK$ million",D12,IF(E12="HK$ billion",D12*1000,"")))</f>
        <v>3000</v>
      </c>
      <c r="G12" s="2" t="s">
        <v>34</v>
      </c>
      <c r="H12" s="5" t="s">
        <v>35</v>
      </c>
    </row>
    <row r="13" customFormat="false" ht="15" hidden="false" customHeight="false" outlineLevel="0" collapsed="false">
      <c r="A13" s="2" t="n">
        <v>2025</v>
      </c>
      <c r="B13" s="2" t="s">
        <v>8</v>
      </c>
      <c r="C13" s="3" t="s">
        <v>36</v>
      </c>
      <c r="D13" s="2" t="n">
        <v>10</v>
      </c>
      <c r="E13" s="3" t="s">
        <v>10</v>
      </c>
      <c r="F13" s="4" t="n">
        <f aca="false">IF(E13="億元",D13*100,IF(E13="HK$ million",D13,IF(E13="HK$ billion",D13*1000,"")))</f>
        <v>1000</v>
      </c>
      <c r="G13" s="2" t="s">
        <v>34</v>
      </c>
      <c r="H13" s="5" t="s">
        <v>37</v>
      </c>
    </row>
    <row r="14" customFormat="false" ht="28.35" hidden="false" customHeight="false" outlineLevel="0" collapsed="false">
      <c r="A14" s="2" t="n">
        <v>2025</v>
      </c>
      <c r="B14" s="2" t="s">
        <v>8</v>
      </c>
      <c r="C14" s="3" t="s">
        <v>38</v>
      </c>
      <c r="D14" s="2" t="n">
        <v>1</v>
      </c>
      <c r="E14" s="3" t="s">
        <v>10</v>
      </c>
      <c r="F14" s="4" t="n">
        <f aca="false">IF(E14="億元",D14*100,IF(E14="HK$ million",D14,IF(E14="HK$ billion",D14*1000,"")))</f>
        <v>100</v>
      </c>
      <c r="G14" s="2" t="s">
        <v>34</v>
      </c>
      <c r="H14" s="5" t="s">
        <v>39</v>
      </c>
    </row>
    <row r="15" customFormat="false" ht="15" hidden="false" customHeight="false" outlineLevel="0" collapsed="false">
      <c r="A15" s="2" t="n">
        <v>2026</v>
      </c>
      <c r="B15" s="2" t="s">
        <v>8</v>
      </c>
      <c r="C15" s="3" t="s">
        <v>40</v>
      </c>
      <c r="D15" s="2" t="n">
        <v>10</v>
      </c>
      <c r="E15" s="3" t="s">
        <v>10</v>
      </c>
      <c r="F15" s="4" t="n">
        <f aca="false">IF(E15="億元",D15*100,IF(E15="HK$ million",D15,IF(E15="HK$ billion",D15*1000,"")))</f>
        <v>1000</v>
      </c>
      <c r="G15" s="2" t="s">
        <v>41</v>
      </c>
      <c r="H15" s="5" t="s">
        <v>42</v>
      </c>
    </row>
    <row r="16" customFormat="false" ht="15" hidden="false" customHeight="false" outlineLevel="0" collapsed="false">
      <c r="A16" s="2" t="n">
        <v>2026</v>
      </c>
      <c r="B16" s="2" t="s">
        <v>8</v>
      </c>
      <c r="C16" s="3" t="s">
        <v>43</v>
      </c>
      <c r="D16" s="2" t="n">
        <v>10</v>
      </c>
      <c r="E16" s="3" t="s">
        <v>10</v>
      </c>
      <c r="F16" s="4" t="n">
        <f aca="false">IF(E16="億元",D16*100,IF(E16="HK$ million",D16,IF(E16="HK$ billion",D16*1000,"")))</f>
        <v>1000</v>
      </c>
      <c r="G16" s="2" t="s">
        <v>41</v>
      </c>
      <c r="H16" s="5" t="s">
        <v>44</v>
      </c>
    </row>
    <row r="17" customFormat="false" ht="15" hidden="false" customHeight="false" outlineLevel="0" collapsed="false">
      <c r="A17" s="2" t="n">
        <v>2026</v>
      </c>
      <c r="B17" s="2" t="s">
        <v>8</v>
      </c>
      <c r="C17" s="3" t="s">
        <v>45</v>
      </c>
      <c r="D17" s="2" t="n">
        <v>3</v>
      </c>
      <c r="E17" s="3" t="s">
        <v>10</v>
      </c>
      <c r="F17" s="4" t="n">
        <f aca="false">IF(E17="億元",D17*100,IF(E17="HK$ million",D17,IF(E17="HK$ billion",D17*1000,"")))</f>
        <v>300</v>
      </c>
      <c r="G17" s="2" t="s">
        <v>41</v>
      </c>
      <c r="H17" s="5" t="s">
        <v>46</v>
      </c>
    </row>
    <row r="18" customFormat="false" ht="28.35" hidden="false" customHeight="false" outlineLevel="0" collapsed="false">
      <c r="A18" s="2" t="n">
        <v>2026</v>
      </c>
      <c r="B18" s="2" t="s">
        <v>8</v>
      </c>
      <c r="C18" s="3" t="s">
        <v>47</v>
      </c>
      <c r="D18" s="2" t="n">
        <v>10</v>
      </c>
      <c r="E18" s="3" t="s">
        <v>10</v>
      </c>
      <c r="F18" s="4" t="n">
        <f aca="false">IF(E18="億元",D18*100,IF(E18="HK$ million",D18,IF(E18="HK$ billion",D18*1000,"")))</f>
        <v>1000</v>
      </c>
      <c r="G18" s="2" t="s">
        <v>41</v>
      </c>
      <c r="H18" s="5" t="s">
        <v>48</v>
      </c>
    </row>
    <row r="19" customFormat="false" ht="26.85" hidden="false" customHeight="false" outlineLevel="0" collapsed="false">
      <c r="A19" s="2" t="n">
        <v>2022</v>
      </c>
      <c r="B19" s="2" t="s">
        <v>49</v>
      </c>
      <c r="C19" s="2" t="s">
        <v>50</v>
      </c>
      <c r="D19" s="2" t="n">
        <v>104570.3</v>
      </c>
      <c r="E19" s="2" t="s">
        <v>51</v>
      </c>
      <c r="F19" s="4" t="n">
        <f aca="false">IF(E19="億元",D19*100,IF(E19="HK$ million",D19,IF(E19="HK$ billion",D19*1000,"")))</f>
        <v>104570.3</v>
      </c>
      <c r="G19" s="2" t="s">
        <v>52</v>
      </c>
      <c r="H19" s="6" t="s">
        <v>53</v>
      </c>
    </row>
    <row r="20" customFormat="false" ht="15" hidden="false" customHeight="false" outlineLevel="0" collapsed="false">
      <c r="A20" s="2" t="n">
        <v>2023</v>
      </c>
      <c r="B20" s="2" t="s">
        <v>49</v>
      </c>
      <c r="C20" s="2" t="s">
        <v>50</v>
      </c>
      <c r="D20" s="2" t="n">
        <v>46294.9</v>
      </c>
      <c r="E20" s="2" t="s">
        <v>51</v>
      </c>
      <c r="F20" s="4" t="n">
        <f aca="false">IF(E20="億元",D20*100,IF(E20="HK$ million",D20,IF(E20="HK$ billion",D20*1000,"")))</f>
        <v>46294.9</v>
      </c>
      <c r="G20" s="2" t="s">
        <v>54</v>
      </c>
      <c r="H20" s="6" t="s">
        <v>55</v>
      </c>
    </row>
    <row r="21" customFormat="false" ht="26.85" hidden="false" customHeight="false" outlineLevel="0" collapsed="false">
      <c r="A21" s="2" t="n">
        <v>2024</v>
      </c>
      <c r="B21" s="2" t="s">
        <v>49</v>
      </c>
      <c r="C21" s="2" t="s">
        <v>56</v>
      </c>
      <c r="D21" s="2" t="n">
        <v>87.8</v>
      </c>
      <c r="E21" s="2" t="s">
        <v>57</v>
      </c>
      <c r="F21" s="4" t="str">
        <f aca="false">IF(E21="億元",D21*100,IF(E21="HK$ million",D21,IF(E21="HK$ billion",D21*1000,"")))</f>
        <v/>
      </c>
      <c r="G21" s="2" t="s">
        <v>58</v>
      </c>
      <c r="H21" s="6" t="s">
        <v>59</v>
      </c>
    </row>
    <row r="22" customFormat="false" ht="15" hidden="false" customHeight="false" outlineLevel="0" collapsed="false">
      <c r="A22" s="2" t="n">
        <v>2025</v>
      </c>
      <c r="B22" s="2" t="s">
        <v>49</v>
      </c>
      <c r="C22" s="2" t="s">
        <v>60</v>
      </c>
      <c r="D22" s="2" t="n">
        <v>286.9</v>
      </c>
      <c r="E22" s="2" t="s">
        <v>61</v>
      </c>
      <c r="F22" s="4" t="n">
        <f aca="false">IF(E22="億元",D22*100,IF(E22="HK$ million",D22,IF(E22="HK$ billion",D22*1000,"")))</f>
        <v>286900</v>
      </c>
      <c r="G22" s="2" t="s">
        <v>58</v>
      </c>
      <c r="H22" s="6" t="s">
        <v>62</v>
      </c>
    </row>
    <row r="23" customFormat="false" ht="15" hidden="false" customHeight="false" outlineLevel="0" collapsed="false">
      <c r="A23" s="2" t="n">
        <v>2025</v>
      </c>
      <c r="B23" s="2" t="s">
        <v>49</v>
      </c>
      <c r="C23" s="2" t="s">
        <v>56</v>
      </c>
      <c r="D23" s="2" t="n">
        <v>286.8</v>
      </c>
      <c r="E23" s="2" t="s">
        <v>57</v>
      </c>
      <c r="F23" s="4" t="str">
        <f aca="false">IF(E23="億元",D23*100,IF(E23="HK$ million",D23,IF(E23="HK$ billion",D23*1000,"")))</f>
        <v/>
      </c>
      <c r="G23" s="2" t="s">
        <v>58</v>
      </c>
      <c r="H23" s="6" t="s">
        <v>63</v>
      </c>
    </row>
    <row r="24" customFormat="false" ht="26.85" hidden="false" customHeight="false" outlineLevel="0" collapsed="false">
      <c r="A24" s="2" t="n">
        <v>2026</v>
      </c>
      <c r="B24" s="2" t="s">
        <v>49</v>
      </c>
      <c r="C24" s="2" t="s">
        <v>64</v>
      </c>
      <c r="D24" s="2" t="n">
        <v>342.4</v>
      </c>
      <c r="E24" s="2" t="s">
        <v>61</v>
      </c>
      <c r="F24" s="4" t="n">
        <f aca="false">IF(E24="億元",D24*100,IF(E24="HK$ million",D24,IF(E24="HK$ billion",D24*1000,"")))</f>
        <v>342400</v>
      </c>
      <c r="G24" s="2" t="s">
        <v>65</v>
      </c>
      <c r="H24" s="6" t="s">
        <v>66</v>
      </c>
    </row>
  </sheetData>
  <autoFilter ref="A1:H24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36"/>
  </cols>
  <sheetData>
    <row r="1" customFormat="false" ht="15" hidden="false" customHeight="false" outlineLevel="0" collapsed="false">
      <c r="A1" s="7" t="s">
        <v>0</v>
      </c>
      <c r="B1" s="7" t="s">
        <v>67</v>
      </c>
    </row>
    <row r="2" customFormat="false" ht="15" hidden="false" customHeight="false" outlineLevel="0" collapsed="false">
      <c r="A2" s="2" t="n">
        <v>2022</v>
      </c>
      <c r="B2" s="4" t="n">
        <f aca="false">SUMIFS(Inputs!F:F,Inputs!A:A,A2,Inputs!B:B,"funding")</f>
        <v>45000</v>
      </c>
    </row>
    <row r="3" customFormat="false" ht="15" hidden="false" customHeight="false" outlineLevel="0" collapsed="false">
      <c r="A3" s="2" t="n">
        <v>2023</v>
      </c>
      <c r="B3" s="4" t="n">
        <f aca="false">SUMIFS(Inputs!F:F,Inputs!A:A,A3,Inputs!B:B,"funding")</f>
        <v>14300</v>
      </c>
    </row>
    <row r="4" customFormat="false" ht="15" hidden="false" customHeight="false" outlineLevel="0" collapsed="false">
      <c r="A4" s="2" t="n">
        <v>2024</v>
      </c>
      <c r="B4" s="4" t="n">
        <f aca="false">SUMIFS(Inputs!F:F,Inputs!A:A,A4,Inputs!B:B,"funding")</f>
        <v>13930</v>
      </c>
    </row>
    <row r="5" customFormat="false" ht="15" hidden="false" customHeight="false" outlineLevel="0" collapsed="false">
      <c r="A5" s="2" t="n">
        <v>2025</v>
      </c>
      <c r="B5" s="4" t="n">
        <f aca="false">SUMIFS(Inputs!F:F,Inputs!A:A,A5,Inputs!B:B,"funding")</f>
        <v>4100</v>
      </c>
    </row>
    <row r="6" customFormat="false" ht="15" hidden="false" customHeight="false" outlineLevel="0" collapsed="false">
      <c r="A6" s="2" t="n">
        <v>2026</v>
      </c>
      <c r="B6" s="4" t="n">
        <f aca="false">SUMIFS(Inputs!F:F,Inputs!A:A,A6,Inputs!B:B,"funding")</f>
        <v>3300</v>
      </c>
    </row>
    <row r="7" customFormat="false" ht="15" hidden="false" customHeight="false" outlineLevel="0" collapsed="false">
      <c r="A7" s="4" t="s">
        <v>68</v>
      </c>
      <c r="B7" s="4" t="n">
        <f aca="false">SUM(B2:B6)</f>
        <v>80630</v>
      </c>
    </row>
    <row r="9" customFormat="false" ht="16.4" hidden="false" customHeight="false" outlineLevel="0" collapsed="false">
      <c r="A9" s="0" t="s">
        <v>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22"/>
    <col collapsed="false" customWidth="true" hidden="false" outlineLevel="0" max="3" min="3" style="0" width="62"/>
  </cols>
  <sheetData>
    <row r="1" customFormat="false" ht="15" hidden="false" customHeight="false" outlineLevel="0" collapsed="false">
      <c r="A1" s="7" t="s">
        <v>0</v>
      </c>
      <c r="B1" s="7" t="s">
        <v>70</v>
      </c>
      <c r="C1" s="7" t="s">
        <v>71</v>
      </c>
    </row>
    <row r="2" customFormat="false" ht="15" hidden="false" customHeight="false" outlineLevel="0" collapsed="false">
      <c r="A2" s="2" t="n">
        <v>2022</v>
      </c>
      <c r="B2" s="4" t="n">
        <f aca="false">Inputs!F19/1000</f>
        <v>104.5703</v>
      </c>
      <c r="C2" s="2" t="s">
        <v>72</v>
      </c>
    </row>
    <row r="3" customFormat="false" ht="15" hidden="false" customHeight="false" outlineLevel="0" collapsed="false">
      <c r="A3" s="2" t="n">
        <v>2023</v>
      </c>
      <c r="B3" s="4" t="n">
        <f aca="false">Inputs!F20/1000</f>
        <v>46.2949</v>
      </c>
      <c r="C3" s="2" t="s">
        <v>72</v>
      </c>
    </row>
    <row r="4" customFormat="false" ht="15" hidden="false" customHeight="false" outlineLevel="0" collapsed="false">
      <c r="A4" s="2" t="n">
        <v>2025</v>
      </c>
      <c r="B4" s="4" t="n">
        <f aca="false">Inputs!D22</f>
        <v>286.9</v>
      </c>
      <c r="C4" s="2" t="s">
        <v>73</v>
      </c>
    </row>
    <row r="6" customFormat="false" ht="15" hidden="false" customHeight="false" outlineLevel="0" collapsed="false">
      <c r="A6" s="0" t="s">
        <v>74</v>
      </c>
    </row>
    <row r="7" customFormat="false" ht="15" hidden="false" customHeight="false" outlineLevel="0" collapsed="false">
      <c r="A7" s="0" t="s">
        <v>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2026-10-07T03:27:27Z</dcterms:created>
  <dc:creator>openpyxl</dc:creator>
  <dc:description/>
  <dc:language>en-US</dc:language>
  <cp:lastModifiedBy/>
  <dcterms:modified xsi:type="dcterms:W3CDTF">2026-10-07T03:27:29Z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